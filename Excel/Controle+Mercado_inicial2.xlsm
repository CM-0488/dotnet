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carla\Desktop\"/>
    </mc:Choice>
  </mc:AlternateContent>
  <bookViews>
    <workbookView xWindow="0" yWindow="0" windowWidth="28800" windowHeight="12330" tabRatio="746" activeTab="2"/>
  </bookViews>
  <sheets>
    <sheet name="Menu" sheetId="1" r:id="rId1"/>
    <sheet name="Despesas Fixas" sheetId="2" r:id="rId2"/>
    <sheet name="Compra Mercadorias" sheetId="6" r:id="rId3"/>
    <sheet name="Investimentos" sheetId="7" r:id="rId4"/>
    <sheet name="Controle de Estoque" sheetId="8" r:id="rId5"/>
    <sheet name="Resultados" sheetId="4" r:id="rId6"/>
    <sheet name="Vendas" sheetId="3" r:id="rId7"/>
    <sheet name="Semana 1" sheetId="9" r:id="rId8"/>
    <sheet name="Análise Sem 1" sheetId="13" r:id="rId9"/>
    <sheet name="Semana 2" sheetId="10" r:id="rId10"/>
    <sheet name="Análise Sem 2" sheetId="14" r:id="rId11"/>
    <sheet name="Semana 3" sheetId="11" r:id="rId12"/>
    <sheet name="Análise Sem 3" sheetId="15" r:id="rId13"/>
    <sheet name="Semana 4" sheetId="12" r:id="rId14"/>
    <sheet name="Análise Sem 4" sheetId="16" r:id="rId15"/>
    <sheet name="Cálculos" sheetId="5" state="hidden" r:id="rId16"/>
  </sheets>
  <definedNames>
    <definedName name="_xlnm._FilterDatabase" localSheetId="15" hidden="1">Cálculos!$H$1:$K$1</definedName>
    <definedName name="_xlnm._FilterDatabase" localSheetId="7" hidden="1">'Semana 1'!$C$4:$M$4</definedName>
    <definedName name="TabelaCM">Tabela3[]</definedName>
    <definedName name="TabelaD">Tabela2[]</definedName>
    <definedName name="TabelaDF">Tabela2[]</definedName>
    <definedName name="TabelaEstq">Tabela1[]</definedName>
    <definedName name="TabelaInvst">Tabela4[]</definedName>
    <definedName name="TabelaS1">Tabela5[]</definedName>
    <definedName name="TabelaS2">Tabela57[]</definedName>
    <definedName name="TabelaS3">Tabela578[]</definedName>
    <definedName name="TabelaS4">Tabela5789[]</definedName>
    <definedName name="TabelaVS2">Tabela57[]</definedName>
  </definedNames>
  <calcPr calcId="162913"/>
  <pivotCaches>
    <pivotCache cacheId="10" r:id="rId17"/>
    <pivotCache cacheId="15" r:id="rId18"/>
    <pivotCache cacheId="25" r:id="rId19"/>
    <pivotCache cacheId="29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5" i="9" l="1"/>
  <c r="N11" i="9"/>
  <c r="F5" i="8" l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5" i="9"/>
  <c r="H5" i="9"/>
  <c r="I5" i="9" s="1"/>
  <c r="L5" i="9"/>
  <c r="F6" i="9"/>
  <c r="H6" i="9"/>
  <c r="I6" i="9" s="1"/>
  <c r="L6" i="9"/>
  <c r="F7" i="9"/>
  <c r="H7" i="9"/>
  <c r="I7" i="9" s="1"/>
  <c r="L7" i="9"/>
  <c r="M21" i="10"/>
  <c r="K6" i="10"/>
  <c r="L8" i="9"/>
  <c r="F8" i="9"/>
  <c r="H8" i="9"/>
  <c r="I8" i="9" s="1"/>
  <c r="M5" i="9" l="1"/>
  <c r="M6" i="9"/>
  <c r="M7" i="9"/>
  <c r="M8" i="9"/>
  <c r="N8" i="9" s="1"/>
  <c r="D17" i="4"/>
  <c r="D13" i="4"/>
  <c r="N7" i="9" l="1"/>
  <c r="M18" i="12"/>
  <c r="M25" i="11"/>
  <c r="M12" i="12"/>
  <c r="M13" i="10"/>
  <c r="M14" i="10"/>
  <c r="E5" i="12" l="1"/>
  <c r="E6" i="12"/>
  <c r="E7" i="12"/>
  <c r="E8" i="12"/>
  <c r="M14" i="12"/>
  <c r="K14" i="12"/>
  <c r="G14" i="12"/>
  <c r="H14" i="12" s="1"/>
  <c r="L14" i="12" s="1"/>
  <c r="E14" i="12"/>
  <c r="M13" i="12"/>
  <c r="K13" i="12"/>
  <c r="G13" i="12"/>
  <c r="H13" i="12" s="1"/>
  <c r="L13" i="12" s="1"/>
  <c r="E13" i="12"/>
  <c r="K12" i="12"/>
  <c r="G12" i="12"/>
  <c r="H12" i="12" s="1"/>
  <c r="L12" i="12" s="1"/>
  <c r="E12" i="12"/>
  <c r="K11" i="12"/>
  <c r="G11" i="12"/>
  <c r="H11" i="12" s="1"/>
  <c r="E11" i="12"/>
  <c r="M10" i="12"/>
  <c r="K10" i="12"/>
  <c r="G10" i="12"/>
  <c r="H10" i="12" s="1"/>
  <c r="E10" i="12"/>
  <c r="M9" i="12"/>
  <c r="K9" i="12"/>
  <c r="G9" i="12"/>
  <c r="H9" i="12" s="1"/>
  <c r="E9" i="12"/>
  <c r="K8" i="12"/>
  <c r="G8" i="12"/>
  <c r="H8" i="12" s="1"/>
  <c r="K7" i="12"/>
  <c r="G7" i="12"/>
  <c r="H7" i="12" s="1"/>
  <c r="L7" i="12" s="1"/>
  <c r="M8" i="12" s="1"/>
  <c r="K6" i="12"/>
  <c r="G6" i="12"/>
  <c r="H6" i="12" s="1"/>
  <c r="K5" i="12"/>
  <c r="G5" i="12"/>
  <c r="H5" i="12" s="1"/>
  <c r="L5" i="12" s="1"/>
  <c r="M5" i="12" s="1"/>
  <c r="K21" i="11"/>
  <c r="G21" i="11"/>
  <c r="H21" i="11" s="1"/>
  <c r="E21" i="11"/>
  <c r="K20" i="11"/>
  <c r="G20" i="11"/>
  <c r="H20" i="11" s="1"/>
  <c r="E20" i="11"/>
  <c r="M19" i="11"/>
  <c r="K19" i="11"/>
  <c r="G19" i="11"/>
  <c r="H19" i="11" s="1"/>
  <c r="E19" i="11"/>
  <c r="K18" i="11"/>
  <c r="G18" i="11"/>
  <c r="H18" i="11" s="1"/>
  <c r="E18" i="11"/>
  <c r="M17" i="11"/>
  <c r="K17" i="11"/>
  <c r="G17" i="11"/>
  <c r="H17" i="11" s="1"/>
  <c r="L17" i="11" s="1"/>
  <c r="E17" i="11"/>
  <c r="M16" i="11"/>
  <c r="K16" i="11"/>
  <c r="G16" i="11"/>
  <c r="H16" i="11" s="1"/>
  <c r="L16" i="11" s="1"/>
  <c r="E16" i="11"/>
  <c r="M15" i="11"/>
  <c r="K15" i="11"/>
  <c r="G15" i="11"/>
  <c r="H15" i="11" s="1"/>
  <c r="L15" i="11" s="1"/>
  <c r="E15" i="11"/>
  <c r="M14" i="11"/>
  <c r="K14" i="11"/>
  <c r="G14" i="11"/>
  <c r="H14" i="11" s="1"/>
  <c r="L14" i="11" s="1"/>
  <c r="E14" i="11"/>
  <c r="K13" i="11"/>
  <c r="G13" i="11"/>
  <c r="H13" i="11" s="1"/>
  <c r="E13" i="11"/>
  <c r="M12" i="11"/>
  <c r="K12" i="11"/>
  <c r="G12" i="11"/>
  <c r="H12" i="11" s="1"/>
  <c r="E12" i="11"/>
  <c r="K11" i="11"/>
  <c r="G11" i="11"/>
  <c r="H11" i="11" s="1"/>
  <c r="E11" i="11"/>
  <c r="M10" i="11"/>
  <c r="K10" i="11"/>
  <c r="G10" i="11"/>
  <c r="H10" i="11" s="1"/>
  <c r="E10" i="11"/>
  <c r="M9" i="11"/>
  <c r="K9" i="11"/>
  <c r="G9" i="11"/>
  <c r="H9" i="11" s="1"/>
  <c r="E9" i="11"/>
  <c r="K8" i="11"/>
  <c r="G8" i="11"/>
  <c r="H8" i="11" s="1"/>
  <c r="E8" i="11"/>
  <c r="M7" i="11"/>
  <c r="K7" i="11"/>
  <c r="G7" i="11"/>
  <c r="H7" i="11" s="1"/>
  <c r="E7" i="11"/>
  <c r="K6" i="11"/>
  <c r="G6" i="11"/>
  <c r="H6" i="11" s="1"/>
  <c r="L6" i="11" s="1"/>
  <c r="E6" i="11"/>
  <c r="M5" i="11"/>
  <c r="K5" i="11"/>
  <c r="G5" i="11"/>
  <c r="H5" i="11" s="1"/>
  <c r="L5" i="11" s="1"/>
  <c r="E5" i="11"/>
  <c r="M17" i="10"/>
  <c r="K17" i="10"/>
  <c r="G17" i="10"/>
  <c r="H17" i="10" s="1"/>
  <c r="L17" i="10" s="1"/>
  <c r="E17" i="10"/>
  <c r="M16" i="10"/>
  <c r="K16" i="10"/>
  <c r="G16" i="10"/>
  <c r="H16" i="10" s="1"/>
  <c r="L16" i="10" s="1"/>
  <c r="E16" i="10"/>
  <c r="M15" i="10"/>
  <c r="K15" i="10"/>
  <c r="G15" i="10"/>
  <c r="H15" i="10" s="1"/>
  <c r="L15" i="10" s="1"/>
  <c r="E15" i="10"/>
  <c r="K14" i="10"/>
  <c r="G14" i="10"/>
  <c r="H14" i="10" s="1"/>
  <c r="E14" i="10"/>
  <c r="K13" i="10"/>
  <c r="G13" i="10"/>
  <c r="H13" i="10" s="1"/>
  <c r="L13" i="10" s="1"/>
  <c r="E13" i="10"/>
  <c r="M12" i="10"/>
  <c r="K12" i="10"/>
  <c r="G12" i="10"/>
  <c r="H12" i="10" s="1"/>
  <c r="L12" i="10" s="1"/>
  <c r="E12" i="10"/>
  <c r="K11" i="10"/>
  <c r="G11" i="10"/>
  <c r="H11" i="10" s="1"/>
  <c r="E11" i="10"/>
  <c r="K10" i="10"/>
  <c r="G10" i="10"/>
  <c r="H10" i="10" s="1"/>
  <c r="E10" i="10"/>
  <c r="K9" i="10"/>
  <c r="G9" i="10"/>
  <c r="H9" i="10" s="1"/>
  <c r="E9" i="10"/>
  <c r="K8" i="10"/>
  <c r="G8" i="10"/>
  <c r="H8" i="10" s="1"/>
  <c r="E8" i="10"/>
  <c r="K7" i="10"/>
  <c r="G7" i="10"/>
  <c r="H7" i="10" s="1"/>
  <c r="E7" i="10"/>
  <c r="G6" i="10"/>
  <c r="H6" i="10" s="1"/>
  <c r="E6" i="10"/>
  <c r="K5" i="10"/>
  <c r="G5" i="10"/>
  <c r="H5" i="10" s="1"/>
  <c r="E5" i="10"/>
  <c r="L9" i="9"/>
  <c r="L10" i="9"/>
  <c r="L11" i="9"/>
  <c r="N9" i="9"/>
  <c r="K20" i="12" l="1"/>
  <c r="L12" i="11"/>
  <c r="L9" i="12"/>
  <c r="L10" i="12"/>
  <c r="K27" i="11"/>
  <c r="K23" i="10"/>
  <c r="L14" i="10"/>
  <c r="C27" i="3"/>
  <c r="L10" i="11"/>
  <c r="L11" i="11"/>
  <c r="L7" i="11"/>
  <c r="M8" i="11" s="1"/>
  <c r="L8" i="11"/>
  <c r="L19" i="11"/>
  <c r="L5" i="10"/>
  <c r="N14" i="9"/>
  <c r="L11" i="12"/>
  <c r="M17" i="12"/>
  <c r="L6" i="12"/>
  <c r="L8" i="12"/>
  <c r="M7" i="12"/>
  <c r="L21" i="11"/>
  <c r="M21" i="11" s="1"/>
  <c r="L20" i="11"/>
  <c r="M20" i="11" s="1"/>
  <c r="L18" i="11"/>
  <c r="M18" i="11" s="1"/>
  <c r="D48" i="3" s="1"/>
  <c r="L13" i="11"/>
  <c r="M13" i="11" s="1"/>
  <c r="M24" i="11"/>
  <c r="L9" i="11"/>
  <c r="L11" i="10"/>
  <c r="M11" i="10" s="1"/>
  <c r="L6" i="10"/>
  <c r="M7" i="10" s="1"/>
  <c r="M20" i="10"/>
  <c r="L8" i="10"/>
  <c r="L9" i="10"/>
  <c r="M9" i="10" s="1"/>
  <c r="L10" i="10"/>
  <c r="M10" i="10" s="1"/>
  <c r="L7" i="10"/>
  <c r="M6" i="12"/>
  <c r="M6" i="11"/>
  <c r="M5" i="10"/>
  <c r="F9" i="9"/>
  <c r="F10" i="9"/>
  <c r="F11" i="9"/>
  <c r="C28" i="3" l="1"/>
  <c r="D6" i="4" s="1"/>
  <c r="M11" i="12"/>
  <c r="M23" i="11"/>
  <c r="D7" i="3" s="1"/>
  <c r="M6" i="10"/>
  <c r="D49" i="3" s="1"/>
  <c r="M16" i="12"/>
  <c r="D8" i="3" s="1"/>
  <c r="M11" i="11"/>
  <c r="D47" i="3" s="1"/>
  <c r="M8" i="10"/>
  <c r="M19" i="10"/>
  <c r="D6" i="3" s="1"/>
  <c r="H9" i="9"/>
  <c r="I9" i="9" s="1"/>
  <c r="M9" i="9" s="1"/>
  <c r="H10" i="9"/>
  <c r="I10" i="9" s="1"/>
  <c r="M10" i="9" s="1"/>
  <c r="H11" i="9"/>
  <c r="I11" i="9" s="1"/>
  <c r="M11" i="9" s="1"/>
  <c r="N10" i="9" l="1"/>
  <c r="D45" i="3" s="1"/>
  <c r="N13" i="9"/>
  <c r="D46" i="3"/>
  <c r="E20" i="8"/>
  <c r="G20" i="8" s="1"/>
  <c r="H20" i="8" s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G10" i="8"/>
  <c r="H10" i="8" s="1"/>
  <c r="G14" i="8"/>
  <c r="H14" i="8" s="1"/>
  <c r="G17" i="8"/>
  <c r="H17" i="8" s="1"/>
  <c r="G18" i="8"/>
  <c r="H18" i="8" s="1"/>
  <c r="E5" i="8"/>
  <c r="G5" i="8" s="1"/>
  <c r="H5" i="8" s="1"/>
  <c r="E6" i="8"/>
  <c r="G6" i="8" s="1"/>
  <c r="H6" i="8" s="1"/>
  <c r="E7" i="8"/>
  <c r="G7" i="8" s="1"/>
  <c r="H7" i="8" s="1"/>
  <c r="E8" i="8"/>
  <c r="G8" i="8" s="1"/>
  <c r="H8" i="8" s="1"/>
  <c r="E9" i="8"/>
  <c r="G9" i="8" s="1"/>
  <c r="H9" i="8" s="1"/>
  <c r="E11" i="8"/>
  <c r="G11" i="8" s="1"/>
  <c r="H11" i="8" s="1"/>
  <c r="G12" i="8"/>
  <c r="H12" i="8" s="1"/>
  <c r="E13" i="8"/>
  <c r="G13" i="8" s="1"/>
  <c r="H13" i="8" s="1"/>
  <c r="E15" i="8"/>
  <c r="G15" i="8" s="1"/>
  <c r="H15" i="8" s="1"/>
  <c r="E16" i="8"/>
  <c r="G16" i="8" s="1"/>
  <c r="H16" i="8" s="1"/>
  <c r="E19" i="8"/>
  <c r="G19" i="8" s="1"/>
  <c r="H19" i="8" s="1"/>
  <c r="E21" i="8"/>
  <c r="G21" i="8" s="1"/>
  <c r="H21" i="8" s="1"/>
  <c r="E22" i="8"/>
  <c r="G22" i="8" s="1"/>
  <c r="H22" i="8" s="1"/>
  <c r="E23" i="8"/>
  <c r="G23" i="8" s="1"/>
  <c r="H23" i="8" s="1"/>
  <c r="E24" i="8"/>
  <c r="G24" i="8" s="1"/>
  <c r="H24" i="8" s="1"/>
  <c r="E25" i="8"/>
  <c r="G25" i="8" s="1"/>
  <c r="H25" i="8" s="1"/>
  <c r="C26" i="3" l="1"/>
  <c r="D5" i="3"/>
  <c r="D10" i="3" s="1"/>
  <c r="D5" i="4" s="1"/>
  <c r="D4" i="4" s="1"/>
  <c r="D7" i="4" s="1"/>
  <c r="D9" i="4" s="1"/>
  <c r="F24" i="7"/>
  <c r="F22" i="7"/>
  <c r="G7" i="6"/>
  <c r="I7" i="6" s="1"/>
  <c r="G8" i="6"/>
  <c r="I8" i="6" s="1"/>
  <c r="G9" i="6"/>
  <c r="I9" i="6" s="1"/>
  <c r="G10" i="6"/>
  <c r="I10" i="6" s="1"/>
  <c r="G11" i="6"/>
  <c r="I11" i="6" s="1"/>
  <c r="G12" i="6"/>
  <c r="I12" i="6" s="1"/>
  <c r="G13" i="6"/>
  <c r="I13" i="6" s="1"/>
  <c r="G14" i="6"/>
  <c r="I14" i="6" s="1"/>
  <c r="G15" i="6"/>
  <c r="I15" i="6" s="1"/>
  <c r="G16" i="6"/>
  <c r="I16" i="6" s="1"/>
  <c r="G17" i="6"/>
  <c r="I17" i="6" s="1"/>
  <c r="G18" i="6"/>
  <c r="I18" i="6" s="1"/>
  <c r="G19" i="6"/>
  <c r="I19" i="6" s="1"/>
  <c r="G20" i="6"/>
  <c r="I20" i="6" s="1"/>
  <c r="G21" i="6"/>
  <c r="I21" i="6" s="1"/>
  <c r="G22" i="6"/>
  <c r="I22" i="6" s="1"/>
  <c r="G23" i="6"/>
  <c r="I23" i="6" s="1"/>
  <c r="G24" i="6"/>
  <c r="I24" i="6" s="1"/>
  <c r="G25" i="6"/>
  <c r="I25" i="6" s="1"/>
  <c r="G26" i="6"/>
  <c r="I26" i="6" s="1"/>
  <c r="G27" i="6"/>
  <c r="I27" i="6" s="1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G31" i="2"/>
  <c r="G21" i="2"/>
  <c r="G14" i="2"/>
  <c r="G6" i="2"/>
  <c r="G32" i="2" l="1"/>
  <c r="G33" i="2" s="1"/>
  <c r="I29" i="6"/>
  <c r="D12" i="4" s="1"/>
  <c r="D11" i="4" l="1"/>
  <c r="D15" i="4" s="1"/>
  <c r="D21" i="4" s="1"/>
  <c r="D23" i="4" s="1"/>
  <c r="D25" i="4" s="1"/>
</calcChain>
</file>

<file path=xl/comments1.xml><?xml version="1.0" encoding="utf-8"?>
<comments xmlns="http://schemas.openxmlformats.org/spreadsheetml/2006/main">
  <authors>
    <author>Carla Marcondes</author>
  </authors>
  <commentList>
    <comment ref="C11" authorId="0" shapeId="0">
      <text>
        <r>
          <rPr>
            <b/>
            <sz val="9"/>
            <color indexed="81"/>
            <rFont val="Segoe UI"/>
            <family val="2"/>
          </rPr>
          <t>Carla Marcondes:</t>
        </r>
        <r>
          <rPr>
            <sz val="9"/>
            <color indexed="81"/>
            <rFont val="Segoe UI"/>
            <family val="2"/>
          </rPr>
          <t xml:space="preserve">
Colocar a descrição de despesa na coluna "Observação"</t>
        </r>
      </text>
    </comment>
    <comment ref="C19" authorId="0" shapeId="0">
      <text>
        <r>
          <rPr>
            <b/>
            <sz val="9"/>
            <color indexed="81"/>
            <rFont val="Segoe UI"/>
            <family val="2"/>
          </rPr>
          <t>Carla Marcondes:</t>
        </r>
        <r>
          <rPr>
            <sz val="9"/>
            <color indexed="81"/>
            <rFont val="Segoe UI"/>
            <family val="2"/>
          </rPr>
          <t xml:space="preserve">
Colocar a descrição de despesa na coluna "Observação"</t>
        </r>
      </text>
    </comment>
    <comment ref="C27" authorId="0" shapeId="0">
      <text>
        <r>
          <rPr>
            <b/>
            <sz val="9"/>
            <color indexed="81"/>
            <rFont val="Segoe UI"/>
            <family val="2"/>
          </rPr>
          <t>Carla Marcondes:</t>
        </r>
        <r>
          <rPr>
            <sz val="9"/>
            <color indexed="81"/>
            <rFont val="Segoe UI"/>
            <family val="2"/>
          </rPr>
          <t xml:space="preserve">
Colocar a descrição de despesa na coluna "Observação"</t>
        </r>
      </text>
    </comment>
    <comment ref="B29" authorId="0" shapeId="0">
      <text>
        <r>
          <rPr>
            <b/>
            <sz val="9"/>
            <color indexed="81"/>
            <rFont val="Segoe UI"/>
            <family val="2"/>
          </rPr>
          <t>Carla Marcondes:</t>
        </r>
        <r>
          <rPr>
            <sz val="9"/>
            <color indexed="81"/>
            <rFont val="Segoe UI"/>
            <family val="2"/>
          </rPr>
          <t xml:space="preserve">
Colocar a descrição de despesa na coluna "Observação"</t>
        </r>
      </text>
    </comment>
  </commentList>
</comments>
</file>

<file path=xl/comments2.xml><?xml version="1.0" encoding="utf-8"?>
<comments xmlns="http://schemas.openxmlformats.org/spreadsheetml/2006/main">
  <authors>
    <author>Carla Marcondes</author>
  </authors>
  <commentList>
    <comment ref="B7" authorId="0" shapeId="0">
      <text>
        <r>
          <rPr>
            <b/>
            <sz val="9"/>
            <color indexed="81"/>
            <rFont val="Segoe UI"/>
            <family val="2"/>
          </rPr>
          <t>Carla Marcondes:</t>
        </r>
        <r>
          <rPr>
            <sz val="9"/>
            <color indexed="81"/>
            <rFont val="Segoe UI"/>
            <family val="2"/>
          </rPr>
          <t xml:space="preserve">
Considerado 15% de Imposto
</t>
        </r>
      </text>
    </comment>
    <comment ref="B23" authorId="0" shapeId="0">
      <text>
        <r>
          <rPr>
            <b/>
            <sz val="9"/>
            <color indexed="81"/>
            <rFont val="Segoe UI"/>
            <family val="2"/>
          </rPr>
          <t>Carla Marcondes:</t>
        </r>
        <r>
          <rPr>
            <sz val="9"/>
            <color indexed="81"/>
            <rFont val="Segoe UI"/>
            <family val="2"/>
          </rPr>
          <t xml:space="preserve">
Considerado 30% de Imposto
</t>
        </r>
      </text>
    </comment>
  </commentList>
</comments>
</file>

<file path=xl/sharedStrings.xml><?xml version="1.0" encoding="utf-8"?>
<sst xmlns="http://schemas.openxmlformats.org/spreadsheetml/2006/main" count="399" uniqueCount="177">
  <si>
    <t>Manutenção de Equipamentos</t>
  </si>
  <si>
    <t>Impostos</t>
  </si>
  <si>
    <t>Limpeza</t>
  </si>
  <si>
    <t>Aluguel Loja</t>
  </si>
  <si>
    <t>Seguros</t>
  </si>
  <si>
    <t>Outros</t>
  </si>
  <si>
    <t>Vendas</t>
  </si>
  <si>
    <t>Receita Líquida</t>
  </si>
  <si>
    <t>Investimentos</t>
  </si>
  <si>
    <t>Controle de Estoque</t>
  </si>
  <si>
    <t>Salários</t>
  </si>
  <si>
    <t>Bonificações</t>
  </si>
  <si>
    <t>Vales (Refeição, Transporte)</t>
  </si>
  <si>
    <t>Informática</t>
  </si>
  <si>
    <t>Serviços Terceirizados</t>
  </si>
  <si>
    <t>Escritório Contábil</t>
  </si>
  <si>
    <t>Escritório Advocacia</t>
  </si>
  <si>
    <t>Entregas</t>
  </si>
  <si>
    <t>Marketing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</si>
  <si>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</si>
  <si>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</si>
  <si>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</si>
  <si>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</si>
  <si>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</si>
  <si>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</si>
  <si>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</si>
  <si>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</si>
  <si>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</si>
  <si>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</si>
  <si>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</si>
  <si>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</si>
  <si>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</si>
  <si>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</si>
  <si>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</si>
  <si>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</si>
  <si>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</si>
  <si>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</si>
  <si>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</si>
  <si>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</si>
  <si>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Despesas</t>
  </si>
  <si>
    <t>Despesas de funcionamento</t>
  </si>
  <si>
    <t>Itens despesas</t>
  </si>
  <si>
    <t>Data</t>
  </si>
  <si>
    <t>Observação</t>
  </si>
  <si>
    <t>Valor Intermediario</t>
  </si>
  <si>
    <t>Valor Final</t>
  </si>
  <si>
    <t>Funcionários</t>
  </si>
  <si>
    <t>Água</t>
  </si>
  <si>
    <t>Energia</t>
  </si>
  <si>
    <t>Gás</t>
  </si>
  <si>
    <t>Telefone</t>
  </si>
  <si>
    <t>Férias, Licença maternidade</t>
  </si>
  <si>
    <t xml:space="preserve">Despesas Funcionamento </t>
  </si>
  <si>
    <t>-</t>
  </si>
  <si>
    <t>Informárica</t>
  </si>
  <si>
    <t>Total despesas de funcionamento</t>
  </si>
  <si>
    <t>Controle de Mercadorias</t>
  </si>
  <si>
    <t>Fornecedor</t>
  </si>
  <si>
    <t>Mercadoria</t>
  </si>
  <si>
    <t>Medida</t>
  </si>
  <si>
    <t>Quantidade</t>
  </si>
  <si>
    <t xml:space="preserve">Preço Unitário </t>
  </si>
  <si>
    <t>Desconto</t>
  </si>
  <si>
    <t>Valor pago</t>
  </si>
  <si>
    <t>Kg</t>
  </si>
  <si>
    <t>Unidade</t>
  </si>
  <si>
    <t>Pão de Forma</t>
  </si>
  <si>
    <t>Pacote</t>
  </si>
  <si>
    <t>Valor vendido</t>
  </si>
  <si>
    <t>Litro</t>
  </si>
  <si>
    <t>Alface e Co.</t>
  </si>
  <si>
    <t>Amendoim e Co.</t>
  </si>
  <si>
    <t>Bala e Co.</t>
  </si>
  <si>
    <t>Barra de Cereal e Co.</t>
  </si>
  <si>
    <t>Caixa de Fósforo e Co.</t>
  </si>
  <si>
    <t>Carne e Co.</t>
  </si>
  <si>
    <t>Cenoura e Co.</t>
  </si>
  <si>
    <t>Cerveja e Co.</t>
  </si>
  <si>
    <t>Chocolate e Co.</t>
  </si>
  <si>
    <t>Cigarro e Co.</t>
  </si>
  <si>
    <t>Couve e Co.</t>
  </si>
  <si>
    <t>Feijão e Co.</t>
  </si>
  <si>
    <t>Frango e Co.</t>
  </si>
  <si>
    <t>Pão de Forma e Co.</t>
  </si>
  <si>
    <t>Peixe e Co.</t>
  </si>
  <si>
    <t>Queijo e Co.</t>
  </si>
  <si>
    <t>Suco e Co.</t>
  </si>
  <si>
    <t>Tomate e Co.</t>
  </si>
  <si>
    <t>Vagem e Co.</t>
  </si>
  <si>
    <t>Vinho e Co.</t>
  </si>
  <si>
    <t>Vodka e Co.</t>
  </si>
  <si>
    <t>Total compra de mercadorias</t>
  </si>
  <si>
    <t xml:space="preserve">Total despesas </t>
  </si>
  <si>
    <t>Equipamentos</t>
  </si>
  <si>
    <t>Carrinhos</t>
  </si>
  <si>
    <t>Balanças</t>
  </si>
  <si>
    <t>Cortador de frios</t>
  </si>
  <si>
    <t>Estrutura</t>
  </si>
  <si>
    <t>Estantes</t>
  </si>
  <si>
    <t>Prateleiras</t>
  </si>
  <si>
    <t>Empilhadeira</t>
  </si>
  <si>
    <t>Escada</t>
  </si>
  <si>
    <t>Investimento</t>
  </si>
  <si>
    <t>Item</t>
  </si>
  <si>
    <t>Descrição</t>
  </si>
  <si>
    <t>Valor</t>
  </si>
  <si>
    <t>Capital Inicial</t>
  </si>
  <si>
    <t>Refrigeração</t>
  </si>
  <si>
    <t>Computadores</t>
  </si>
  <si>
    <t>Sistema integrado</t>
  </si>
  <si>
    <t>Leitores de preço</t>
  </si>
  <si>
    <t>Caixas</t>
  </si>
  <si>
    <t>Capital inicial</t>
  </si>
  <si>
    <t>Total compras para investimento</t>
  </si>
  <si>
    <t>Valor final restante</t>
  </si>
  <si>
    <t>Produto</t>
  </si>
  <si>
    <t>Última compra</t>
  </si>
  <si>
    <t>Qtd Comprada</t>
  </si>
  <si>
    <t>Qtd inicial</t>
  </si>
  <si>
    <t>Situação</t>
  </si>
  <si>
    <t>Qtd Atual</t>
  </si>
  <si>
    <t>Qtd Vendida</t>
  </si>
  <si>
    <t>Vendas semana 1</t>
  </si>
  <si>
    <t>ID Cliente</t>
  </si>
  <si>
    <t>Valor Unitário</t>
  </si>
  <si>
    <t>Subtotal</t>
  </si>
  <si>
    <t>Entrega</t>
  </si>
  <si>
    <t>Valor Entrega</t>
  </si>
  <si>
    <t>Total</t>
  </si>
  <si>
    <t>Regiões de Entrega</t>
  </si>
  <si>
    <t>Preço</t>
  </si>
  <si>
    <t>Centro</t>
  </si>
  <si>
    <t>Loja</t>
  </si>
  <si>
    <t>Zona Norte</t>
  </si>
  <si>
    <t>Zona Oeste</t>
  </si>
  <si>
    <t>Zona Sul</t>
  </si>
  <si>
    <t>Total Cliente</t>
  </si>
  <si>
    <t>Receita da semana 1</t>
  </si>
  <si>
    <t>Receita de entregas</t>
  </si>
  <si>
    <t>Vendas semana 2</t>
  </si>
  <si>
    <t>Vendas semana 3</t>
  </si>
  <si>
    <t>Receita da semana 2</t>
  </si>
  <si>
    <t>Receita da semana 3</t>
  </si>
  <si>
    <t>Receita da semana 4</t>
  </si>
  <si>
    <t>Semana 1</t>
  </si>
  <si>
    <t>Semana 2</t>
  </si>
  <si>
    <t>Semana 3</t>
  </si>
  <si>
    <t>Semana 4</t>
  </si>
  <si>
    <t>Vendas semana 4</t>
  </si>
  <si>
    <t>Receitas por entrega (R$)</t>
  </si>
  <si>
    <t>Total de vendas da semana</t>
  </si>
  <si>
    <t>Ticket médio (R$)</t>
  </si>
  <si>
    <t>Vendas por entrega (%)</t>
  </si>
  <si>
    <t>Vendas Maio</t>
  </si>
  <si>
    <t>Maio</t>
  </si>
  <si>
    <t>Região</t>
  </si>
  <si>
    <t>Entregas por região</t>
  </si>
  <si>
    <t>Resultados</t>
  </si>
  <si>
    <t>Total de Receitas</t>
  </si>
  <si>
    <t>Imposto sobre Receitas</t>
  </si>
  <si>
    <t>Total de Despesas</t>
  </si>
  <si>
    <t>Resultado Bruto</t>
  </si>
  <si>
    <t>Depreciação e Amortizações</t>
  </si>
  <si>
    <t>Resultado antes do Imposto</t>
  </si>
  <si>
    <t>Imposto</t>
  </si>
  <si>
    <t>Resultado Líquido</t>
  </si>
  <si>
    <t>Receita Mercadorias</t>
  </si>
  <si>
    <t>Receita Entregas</t>
  </si>
  <si>
    <t>Despesas Mercadorias</t>
  </si>
  <si>
    <t>Despesas Funcionamento</t>
  </si>
  <si>
    <t>Total do mês:</t>
  </si>
  <si>
    <t>Total Geral</t>
  </si>
  <si>
    <t>Total Vendido</t>
  </si>
  <si>
    <t>Qtd Produtos Vendidos</t>
  </si>
  <si>
    <t>Qtd de Produtos</t>
  </si>
  <si>
    <t>Valor Entregas</t>
  </si>
  <si>
    <t>Total Produtos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</si>
</sst>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6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/>
    <xf numFmtId="44" fontId="0" fillId="0" borderId="0" xfId="1" applyFont="1"/>
    <xf numFmtId="44" fontId="0" fillId="2" borderId="0" xfId="1" applyFont="1" applyFill="1"/>
    <xf numFmtId="0" fontId="3" fillId="0" borderId="0" xfId="0" applyFont="1"/>
    <xf numFmtId="44" fontId="3" fillId="0" borderId="0" xfId="1" applyFont="1"/>
    <xf numFmtId="9" fontId="0" fillId="0" borderId="0" xfId="2" applyFont="1"/>
    <xf numFmtId="9" fontId="0" fillId="2" borderId="0" xfId="2" applyFont="1" applyFill="1"/>
    <xf numFmtId="14" fontId="0" fillId="0" borderId="0" xfId="0" applyNumberFormat="1"/>
    <xf numFmtId="0" fontId="0" fillId="0" borderId="1" xfId="0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2" fontId="0" fillId="0" borderId="2" xfId="0" applyNumberFormat="1" applyFont="1" applyBorder="1" applyAlignment="1">
      <alignment horizontal="center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14" fontId="0" fillId="0" borderId="0" xfId="0" applyNumberFormat="1" applyAlignment="1">
      <alignment horizontal="center"/>
    </xf>
    <xf numFmtId="44" fontId="0" fillId="3" borderId="0" xfId="1" applyFont="1" applyFill="1"/>
    <xf numFmtId="9" fontId="0" fillId="3" borderId="0" xfId="2" applyFont="1" applyFill="1"/>
    <xf numFmtId="0" fontId="0" fillId="3" borderId="0" xfId="0" applyFill="1"/>
    <xf numFmtId="44" fontId="0" fillId="3" borderId="0" xfId="1" applyFont="1" applyFill="1" applyAlignment="1">
      <alignment horizontal="center"/>
    </xf>
    <xf numFmtId="44" fontId="0" fillId="0" borderId="0" xfId="1" applyNumberFormat="1" applyFont="1"/>
    <xf numFmtId="16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0" xfId="1" applyNumberFormat="1" applyFont="1"/>
    <xf numFmtId="0" fontId="0" fillId="0" borderId="3" xfId="0" applyBorder="1"/>
    <xf numFmtId="9" fontId="0" fillId="0" borderId="0" xfId="0" applyNumberFormat="1" applyBorder="1"/>
    <xf numFmtId="44" fontId="0" fillId="0" borderId="0" xfId="1" applyFont="1" applyBorder="1" applyAlignment="1">
      <alignment horizontal="center"/>
    </xf>
    <xf numFmtId="9" fontId="0" fillId="0" borderId="0" xfId="2" applyFont="1" applyBorder="1" applyAlignment="1">
      <alignment horizontal="center"/>
    </xf>
    <xf numFmtId="44" fontId="0" fillId="0" borderId="0" xfId="1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1" xfId="0" applyBorder="1"/>
    <xf numFmtId="44" fontId="0" fillId="0" borderId="11" xfId="1" applyFont="1" applyBorder="1"/>
    <xf numFmtId="0" fontId="0" fillId="0" borderId="12" xfId="0" applyBorder="1"/>
    <xf numFmtId="44" fontId="0" fillId="0" borderId="12" xfId="1" applyFont="1" applyBorder="1"/>
    <xf numFmtId="44" fontId="0" fillId="0" borderId="9" xfId="1" applyFont="1" applyBorder="1"/>
    <xf numFmtId="44" fontId="0" fillId="0" borderId="9" xfId="0" applyNumberFormat="1" applyBorder="1"/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1" applyNumberFormat="1" applyFont="1"/>
    <xf numFmtId="0" fontId="0" fillId="0" borderId="0" xfId="0" applyNumberFormat="1"/>
    <xf numFmtId="0" fontId="0" fillId="0" borderId="13" xfId="0" applyBorder="1"/>
    <xf numFmtId="0" fontId="0" fillId="0" borderId="13" xfId="0" pivotButton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NumberFormat="1" applyBorder="1" applyAlignment="1">
      <alignment horizontal="center"/>
    </xf>
    <xf numFmtId="44" fontId="0" fillId="0" borderId="13" xfId="0" applyNumberForma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0" fontId="7" fillId="3" borderId="0" xfId="0" applyFont="1" applyFill="1" applyAlignment="1">
      <alignment horizontal="left" vertical="center"/>
    </xf>
    <xf numFmtId="0" fontId="0" fillId="0" borderId="13" xfId="0" applyFont="1" applyBorder="1" applyAlignment="1">
      <alignment horizontal="center"/>
    </xf>
    <xf numFmtId="2" fontId="0" fillId="0" borderId="13" xfId="0" applyNumberFormat="1" applyFont="1" applyBorder="1" applyAlignment="1">
      <alignment horizontal="center"/>
    </xf>
    <xf numFmtId="0" fontId="4" fillId="0" borderId="13" xfId="0" applyFont="1" applyBorder="1"/>
    <xf numFmtId="44" fontId="0" fillId="0" borderId="13" xfId="1" applyFont="1" applyBorder="1"/>
  </cellXfs>
  <cellStyles count="3">
    <cellStyle name="Moeda" xfId="1" builtinId="4"/>
    <cellStyle name="Normal" xfId="0" builtinId="0"/>
    <cellStyle name="Porcentagem" xfId="2" builtinId="5"/>
  </cellStyles>
  <dxfs count="140">
    <dxf>
      <font>
        <b/>
        <i val="0"/>
        <color rgb="FFC00000"/>
      </font>
      <fill>
        <patternFill>
          <bgColor theme="5" tint="0.79998168889431442"/>
        </patternFill>
      </fill>
      <border>
        <vertical/>
        <horizontal/>
      </border>
    </dxf>
    <dxf>
      <font>
        <color rgb="FF00B050"/>
      </font>
    </dxf>
    <dxf>
      <font>
        <b/>
        <i val="0"/>
        <color rgb="FFC00000"/>
      </font>
      <fill>
        <patternFill>
          <bgColor theme="7" tint="0.79998168889431442"/>
        </patternFill>
      </fill>
    </dxf>
    <dxf>
      <font>
        <b val="0"/>
        <i/>
        <color theme="7" tint="-0.24994659260841701"/>
      </font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alignment horizontal="center" vertical="bottom" textRotation="0" wrapText="0" indent="0" justifyLastLine="0" shrinkToFit="0" readingOrder="0"/>
    </dxf>
    <dxf>
      <numFmt numFmtId="19" formatCode="dd/mm/yyyy"/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numFmt numFmtId="19" formatCode="dd/mm/yyyy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E46EC"/>
      <color rgb="FFD0D062"/>
      <color rgb="FFA16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Vendas!$C$5:$C$8</c:f>
              <c:strCache>
                <c:ptCount val="4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</c:strCache>
            </c:strRef>
          </c:cat>
          <c:val>
            <c:numRef>
              <c:f>Vendas!$D$5:$D$8</c:f>
              <c:numCache>
                <c:formatCode>_("R$"* #,##0.00_);_("R$"* \(#,##0.00\);_("R$"* "-"??_);_(@_)</c:formatCode>
                <c:ptCount val="4"/>
                <c:pt idx="0">
                  <c:v>153.89200000000002</c:v>
                </c:pt>
                <c:pt idx="1">
                  <c:v>112.59509999999999</c:v>
                </c:pt>
                <c:pt idx="2">
                  <c:v>1124.3490000000002</c:v>
                </c:pt>
                <c:pt idx="3">
                  <c:v>458.07499999999999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83F-ADEC-80056714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6696543"/>
        <c:axId val="1556693215"/>
      </c:barChart>
      <c:catAx>
        <c:axId val="155669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6693215"/>
        <c:crosses val="autoZero"/>
        <c:auto val="1"/>
        <c:lblAlgn val="ctr"/>
        <c:lblOffset val="100"/>
        <c:noMultiLvlLbl val="0"/>
      </c:catAx>
      <c:valAx>
        <c:axId val="15566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6696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Vendas!$B$26:$B$28</c:f>
              <c:strCache>
                <c:ptCount val="3"/>
                <c:pt idx="0">
                  <c:v>Ticket médio (R$)</c:v>
                </c:pt>
                <c:pt idx="1">
                  <c:v>Vendas por entrega (%)</c:v>
                </c:pt>
                <c:pt idx="2">
                  <c:v>Receitas por entrega (R$)</c:v>
                </c:pt>
              </c:strCache>
            </c:strRef>
          </c:cat>
          <c:val>
            <c:numRef>
              <c:f>Vendas!$C$26:$C$28</c:f>
              <c:numCache>
                <c:formatCode>0%</c:formatCode>
                <c:ptCount val="3"/>
                <c:pt idx="0" formatCode="_(&quot;R$&quot;* #,##0.00_);_(&quot;R$&quot;* \(#,##0.00\);_(&quot;R$&quot;* &quot;-&quot;??_);_(@_)">
                  <c:v>1416.2847111111114</c:v>
                </c:pt>
                <c:pt idx="1">
                  <c:v>0.44444444444444442</c:v>
                </c:pt>
                <c:pt idx="2" formatCode="_(&quot;R$&quot;* #,##0.00_);_(&quot;R$&quot;* \(#,##0.00\);_(&quot;R$&quot;* &quot;-&quot;??_);_(@_)">
                  <c:v>47.5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B-47B6-8885-15C227E08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31996159"/>
        <c:axId val="1431997407"/>
      </c:barChart>
      <c:catAx>
        <c:axId val="1431996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1997407"/>
        <c:crosses val="autoZero"/>
        <c:auto val="1"/>
        <c:lblAlgn val="ctr"/>
        <c:lblOffset val="100"/>
        <c:noMultiLvlLbl val="0"/>
      </c:catAx>
      <c:valAx>
        <c:axId val="1431997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1996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24108369991405"/>
          <c:y val="1.1500249585366259E-3"/>
          <c:w val="0.56093127588473513"/>
          <c:h val="0.9824900568410543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0D-4940-A603-B23A403463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0D-4940-A603-B23A403463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0D-4940-A603-B23A403463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0D-4940-A603-B23A4034636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0D-4940-A603-B23A403463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Vendas!$C$45:$C$49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Vendas!$D$45:$D$49</c:f>
              <c:numCache>
                <c:formatCode>General</c:formatCode>
                <c:ptCount val="5"/>
                <c:pt idx="0">
                  <c:v>10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F-4CBC-8313-BEFDA9BCF2E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mpra Mercadorias'!A1"/><Relationship Id="rId7" Type="http://schemas.openxmlformats.org/officeDocument/2006/relationships/hyperlink" Target="#Vendas!A1"/><Relationship Id="rId2" Type="http://schemas.openxmlformats.org/officeDocument/2006/relationships/hyperlink" Target="#'Despesas Fixas'!A1"/><Relationship Id="rId1" Type="http://schemas.openxmlformats.org/officeDocument/2006/relationships/image" Target="../media/image1.jpg"/><Relationship Id="rId6" Type="http://schemas.openxmlformats.org/officeDocument/2006/relationships/hyperlink" Target="#Resultados!A1"/><Relationship Id="rId5" Type="http://schemas.openxmlformats.org/officeDocument/2006/relationships/hyperlink" Target="#'Controle de Estoque'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Compra Mercadorias'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'Despesas Fixas'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Compra Mercadorias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2'!A1"/><Relationship Id="rId3" Type="http://schemas.openxmlformats.org/officeDocument/2006/relationships/chart" Target="../charts/chart2.xml"/><Relationship Id="rId7" Type="http://schemas.openxmlformats.org/officeDocument/2006/relationships/hyperlink" Target="#'Semana 1'!A1"/><Relationship Id="rId2" Type="http://schemas.openxmlformats.org/officeDocument/2006/relationships/chart" Target="../charts/chart1.xml"/><Relationship Id="rId1" Type="http://schemas.openxmlformats.org/officeDocument/2006/relationships/hyperlink" Target="#Menu!A1"/><Relationship Id="rId6" Type="http://schemas.openxmlformats.org/officeDocument/2006/relationships/hyperlink" Target="#Vendas!B71"/><Relationship Id="rId5" Type="http://schemas.openxmlformats.org/officeDocument/2006/relationships/hyperlink" Target="#Resultados!A1"/><Relationship Id="rId10" Type="http://schemas.openxmlformats.org/officeDocument/2006/relationships/hyperlink" Target="#'Semana 4'!A1"/><Relationship Id="rId4" Type="http://schemas.openxmlformats.org/officeDocument/2006/relationships/chart" Target="../charts/chart3.xml"/><Relationship Id="rId9" Type="http://schemas.openxmlformats.org/officeDocument/2006/relationships/hyperlink" Target="#'Semana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An&#225;lise Sem 1'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emana 2'!A1"/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An&#225;lise Sem 2'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Semana 3'!A1"/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An&#225;lise Sem 3'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Semana 4'!A1"/><Relationship Id="rId1" Type="http://schemas.openxmlformats.org/officeDocument/2006/relationships/hyperlink" Target="#'Semana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An&#225;lise Sem 4'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ana 3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29</xdr:col>
      <xdr:colOff>200025</xdr:colOff>
      <xdr:row>44</xdr:row>
      <xdr:rowOff>30956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00"/>
        <a:stretch/>
      </xdr:blipFill>
      <xdr:spPr>
        <a:xfrm>
          <a:off x="9525" y="0"/>
          <a:ext cx="17868900" cy="8412956"/>
        </a:xfrm>
        <a:prstGeom prst="rect">
          <a:avLst/>
        </a:prstGeom>
      </xdr:spPr>
    </xdr:pic>
    <xdr:clientData/>
  </xdr:twoCellAnchor>
  <xdr:twoCellAnchor>
    <xdr:from>
      <xdr:col>2</xdr:col>
      <xdr:colOff>66675</xdr:colOff>
      <xdr:row>1</xdr:row>
      <xdr:rowOff>66675</xdr:rowOff>
    </xdr:from>
    <xdr:to>
      <xdr:col>4</xdr:col>
      <xdr:colOff>285750</xdr:colOff>
      <xdr:row>3</xdr:row>
      <xdr:rowOff>114300</xdr:rowOff>
    </xdr:to>
    <xdr:sp macro="" textlink="">
      <xdr:nvSpPr>
        <xdr:cNvPr id="2" name="Retângulo 1">
          <a:hlinkClick xmlns:r="http://schemas.openxmlformats.org/officeDocument/2006/relationships" r:id="rId2"/>
        </xdr:cNvPr>
        <xdr:cNvSpPr/>
      </xdr:nvSpPr>
      <xdr:spPr>
        <a:xfrm>
          <a:off x="1285875" y="257175"/>
          <a:ext cx="1438275" cy="428625"/>
        </a:xfrm>
        <a:prstGeom prst="rect">
          <a:avLst/>
        </a:prstGeom>
        <a:noFill/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ysClr val="windowText" lastClr="000000"/>
              </a:solidFill>
            </a:rPr>
            <a:t>Despesas</a:t>
          </a:r>
          <a:endParaRPr lang="pt-BR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</xdr:colOff>
      <xdr:row>1</xdr:row>
      <xdr:rowOff>57150</xdr:rowOff>
    </xdr:from>
    <xdr:to>
      <xdr:col>9</xdr:col>
      <xdr:colOff>409575</xdr:colOff>
      <xdr:row>3</xdr:row>
      <xdr:rowOff>104775</xdr:rowOff>
    </xdr:to>
    <xdr:sp macro="" textlink="">
      <xdr:nvSpPr>
        <xdr:cNvPr id="3" name="Retângulo 2">
          <a:hlinkClick xmlns:r="http://schemas.openxmlformats.org/officeDocument/2006/relationships" r:id="rId3"/>
        </xdr:cNvPr>
        <xdr:cNvSpPr/>
      </xdr:nvSpPr>
      <xdr:spPr>
        <a:xfrm>
          <a:off x="3657601" y="247650"/>
          <a:ext cx="2238374" cy="428625"/>
        </a:xfrm>
        <a:prstGeom prst="rect">
          <a:avLst/>
        </a:prstGeom>
        <a:noFill/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ysClr val="windowText" lastClr="000000"/>
              </a:solidFill>
            </a:rPr>
            <a:t>Compra</a:t>
          </a:r>
          <a:r>
            <a:rPr lang="pt-BR" sz="1600" baseline="0">
              <a:solidFill>
                <a:sysClr val="windowText" lastClr="000000"/>
              </a:solidFill>
            </a:rPr>
            <a:t> Mercadorias</a:t>
          </a:r>
        </a:p>
      </xdr:txBody>
    </xdr:sp>
    <xdr:clientData/>
  </xdr:twoCellAnchor>
  <xdr:twoCellAnchor>
    <xdr:from>
      <xdr:col>11</xdr:col>
      <xdr:colOff>85725</xdr:colOff>
      <xdr:row>1</xdr:row>
      <xdr:rowOff>57150</xdr:rowOff>
    </xdr:from>
    <xdr:to>
      <xdr:col>13</xdr:col>
      <xdr:colOff>552450</xdr:colOff>
      <xdr:row>3</xdr:row>
      <xdr:rowOff>104775</xdr:rowOff>
    </xdr:to>
    <xdr:sp macro="" textlink="">
      <xdr:nvSpPr>
        <xdr:cNvPr id="4" name="Retângulo 3">
          <a:hlinkClick xmlns:r="http://schemas.openxmlformats.org/officeDocument/2006/relationships" r:id="rId4"/>
        </xdr:cNvPr>
        <xdr:cNvSpPr/>
      </xdr:nvSpPr>
      <xdr:spPr>
        <a:xfrm>
          <a:off x="6791325" y="247650"/>
          <a:ext cx="1685925" cy="428625"/>
        </a:xfrm>
        <a:prstGeom prst="rect">
          <a:avLst/>
        </a:prstGeom>
        <a:noFill/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ysClr val="windowText" lastClr="000000"/>
              </a:solidFill>
            </a:rPr>
            <a:t>Investimentos</a:t>
          </a:r>
        </a:p>
      </xdr:txBody>
    </xdr:sp>
    <xdr:clientData/>
  </xdr:twoCellAnchor>
  <xdr:twoCellAnchor>
    <xdr:from>
      <xdr:col>15</xdr:col>
      <xdr:colOff>438149</xdr:colOff>
      <xdr:row>1</xdr:row>
      <xdr:rowOff>57150</xdr:rowOff>
    </xdr:from>
    <xdr:to>
      <xdr:col>19</xdr:col>
      <xdr:colOff>161924</xdr:colOff>
      <xdr:row>3</xdr:row>
      <xdr:rowOff>104775</xdr:rowOff>
    </xdr:to>
    <xdr:sp macro="" textlink="">
      <xdr:nvSpPr>
        <xdr:cNvPr id="5" name="Retângulo 4">
          <a:hlinkClick xmlns:r="http://schemas.openxmlformats.org/officeDocument/2006/relationships" r:id="rId5"/>
        </xdr:cNvPr>
        <xdr:cNvSpPr/>
      </xdr:nvSpPr>
      <xdr:spPr>
        <a:xfrm>
          <a:off x="9582149" y="247650"/>
          <a:ext cx="2162175" cy="428625"/>
        </a:xfrm>
        <a:prstGeom prst="rect">
          <a:avLst/>
        </a:prstGeom>
        <a:noFill/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ysClr val="windowText" lastClr="000000"/>
              </a:solidFill>
            </a:rPr>
            <a:t>Controle</a:t>
          </a:r>
          <a:r>
            <a:rPr lang="pt-BR" sz="1600" baseline="0">
              <a:solidFill>
                <a:sysClr val="windowText" lastClr="000000"/>
              </a:solidFill>
            </a:rPr>
            <a:t> de Estoque</a:t>
          </a:r>
          <a:endParaRPr lang="pt-BR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542925</xdr:colOff>
      <xdr:row>1</xdr:row>
      <xdr:rowOff>66675</xdr:rowOff>
    </xdr:from>
    <xdr:to>
      <xdr:col>23</xdr:col>
      <xdr:colOff>333374</xdr:colOff>
      <xdr:row>3</xdr:row>
      <xdr:rowOff>114300</xdr:rowOff>
    </xdr:to>
    <xdr:sp macro="" textlink="">
      <xdr:nvSpPr>
        <xdr:cNvPr id="6" name="Retângulo 5">
          <a:hlinkClick xmlns:r="http://schemas.openxmlformats.org/officeDocument/2006/relationships" r:id="rId6"/>
        </xdr:cNvPr>
        <xdr:cNvSpPr/>
      </xdr:nvSpPr>
      <xdr:spPr>
        <a:xfrm>
          <a:off x="12734925" y="257175"/>
          <a:ext cx="1619249" cy="428625"/>
        </a:xfrm>
        <a:prstGeom prst="rect">
          <a:avLst/>
        </a:prstGeom>
        <a:noFill/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ysClr val="windowText" lastClr="000000"/>
              </a:solidFill>
            </a:rPr>
            <a:t>Resultados</a:t>
          </a:r>
        </a:p>
      </xdr:txBody>
    </xdr:sp>
    <xdr:clientData/>
  </xdr:twoCellAnchor>
  <xdr:twoCellAnchor>
    <xdr:from>
      <xdr:col>25</xdr:col>
      <xdr:colOff>19050</xdr:colOff>
      <xdr:row>1</xdr:row>
      <xdr:rowOff>38100</xdr:rowOff>
    </xdr:from>
    <xdr:to>
      <xdr:col>27</xdr:col>
      <xdr:colOff>238125</xdr:colOff>
      <xdr:row>3</xdr:row>
      <xdr:rowOff>85725</xdr:rowOff>
    </xdr:to>
    <xdr:sp macro="" textlink="">
      <xdr:nvSpPr>
        <xdr:cNvPr id="7" name="Retângulo 6">
          <a:hlinkClick xmlns:r="http://schemas.openxmlformats.org/officeDocument/2006/relationships" r:id="rId7"/>
        </xdr:cNvPr>
        <xdr:cNvSpPr/>
      </xdr:nvSpPr>
      <xdr:spPr>
        <a:xfrm>
          <a:off x="15259050" y="228600"/>
          <a:ext cx="1438275" cy="428625"/>
        </a:xfrm>
        <a:prstGeom prst="rect">
          <a:avLst/>
        </a:prstGeom>
        <a:noFill/>
        <a:ln w="381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ysClr val="windowText" lastClr="000000"/>
              </a:solidFill>
            </a:rPr>
            <a:t>Vendas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428625</xdr:colOff>
      <xdr:row>1</xdr:row>
      <xdr:rowOff>57150</xdr:rowOff>
    </xdr:from>
    <xdr:to>
      <xdr:col>18</xdr:col>
      <xdr:colOff>104775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6535400" y="247650"/>
          <a:ext cx="895350" cy="276225"/>
        </a:xfrm>
        <a:prstGeom prst="snip2Diag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5</xdr:col>
      <xdr:colOff>809625</xdr:colOff>
      <xdr:row>1</xdr:row>
      <xdr:rowOff>57150</xdr:rowOff>
    </xdr:from>
    <xdr:to>
      <xdr:col>6</xdr:col>
      <xdr:colOff>1000125</xdr:colOff>
      <xdr:row>1</xdr:row>
      <xdr:rowOff>333375</xdr:rowOff>
    </xdr:to>
    <xdr:sp macro="" textlink="">
      <xdr:nvSpPr>
        <xdr:cNvPr id="3" name="Retângulo Arredondado 2">
          <a:hlinkClick xmlns:r="http://schemas.openxmlformats.org/officeDocument/2006/relationships" r:id="rId2"/>
        </xdr:cNvPr>
        <xdr:cNvSpPr/>
      </xdr:nvSpPr>
      <xdr:spPr>
        <a:xfrm>
          <a:off x="8839200" y="247650"/>
          <a:ext cx="1562100" cy="27622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Compra</a:t>
          </a:r>
          <a:r>
            <a:rPr lang="pt-BR" sz="1200" b="1" baseline="0"/>
            <a:t> Mercadorias</a:t>
          </a:r>
          <a:endParaRPr lang="pt-BR" sz="1200" b="1"/>
        </a:p>
      </xdr:txBody>
    </xdr:sp>
    <xdr:clientData/>
  </xdr:twoCellAnchor>
  <xdr:twoCellAnchor>
    <xdr:from>
      <xdr:col>7</xdr:col>
      <xdr:colOff>180975</xdr:colOff>
      <xdr:row>1</xdr:row>
      <xdr:rowOff>57150</xdr:rowOff>
    </xdr:from>
    <xdr:to>
      <xdr:col>9</xdr:col>
      <xdr:colOff>523875</xdr:colOff>
      <xdr:row>1</xdr:row>
      <xdr:rowOff>333375</xdr:rowOff>
    </xdr:to>
    <xdr:sp macro="" textlink="">
      <xdr:nvSpPr>
        <xdr:cNvPr id="4" name="Retângulo Arredondado 3"/>
        <xdr:cNvSpPr/>
      </xdr:nvSpPr>
      <xdr:spPr>
        <a:xfrm>
          <a:off x="10801350" y="247650"/>
          <a:ext cx="1562100" cy="27622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Resultados</a:t>
          </a:r>
        </a:p>
      </xdr:txBody>
    </xdr:sp>
    <xdr:clientData/>
  </xdr:twoCellAnchor>
  <xdr:twoCellAnchor>
    <xdr:from>
      <xdr:col>4</xdr:col>
      <xdr:colOff>438150</xdr:colOff>
      <xdr:row>1</xdr:row>
      <xdr:rowOff>57150</xdr:rowOff>
    </xdr:from>
    <xdr:to>
      <xdr:col>5</xdr:col>
      <xdr:colOff>257175</xdr:colOff>
      <xdr:row>1</xdr:row>
      <xdr:rowOff>333375</xdr:rowOff>
    </xdr:to>
    <xdr:sp macro="" textlink="">
      <xdr:nvSpPr>
        <xdr:cNvPr id="5" name="Retângulo Arredondado 4">
          <a:hlinkClick xmlns:r="http://schemas.openxmlformats.org/officeDocument/2006/relationships" r:id="rId1"/>
        </xdr:cNvPr>
        <xdr:cNvSpPr/>
      </xdr:nvSpPr>
      <xdr:spPr>
        <a:xfrm>
          <a:off x="6724650" y="247650"/>
          <a:ext cx="1562100" cy="27622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1</xdr:row>
      <xdr:rowOff>57150</xdr:rowOff>
    </xdr:from>
    <xdr:to>
      <xdr:col>22</xdr:col>
      <xdr:colOff>428625</xdr:colOff>
      <xdr:row>1</xdr:row>
      <xdr:rowOff>333375</xdr:rowOff>
    </xdr:to>
    <xdr:sp macro="" textlink="">
      <xdr:nvSpPr>
        <xdr:cNvPr id="3" name="Retângulo com Canto Diagonal Aparado 2">
          <a:hlinkClick xmlns:r="http://schemas.openxmlformats.org/officeDocument/2006/relationships" r:id="rId1"/>
        </xdr:cNvPr>
        <xdr:cNvSpPr/>
      </xdr:nvSpPr>
      <xdr:spPr>
        <a:xfrm>
          <a:off x="16487775" y="247650"/>
          <a:ext cx="895350" cy="276225"/>
        </a:xfrm>
        <a:prstGeom prst="snip2Diag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8</xdr:col>
      <xdr:colOff>952500</xdr:colOff>
      <xdr:row>1</xdr:row>
      <xdr:rowOff>47625</xdr:rowOff>
    </xdr:from>
    <xdr:to>
      <xdr:col>11</xdr:col>
      <xdr:colOff>76200</xdr:colOff>
      <xdr:row>1</xdr:row>
      <xdr:rowOff>323850</xdr:rowOff>
    </xdr:to>
    <xdr:sp macro="" textlink="">
      <xdr:nvSpPr>
        <xdr:cNvPr id="4" name="Retângulo Arredondado 3">
          <a:hlinkClick xmlns:r="http://schemas.openxmlformats.org/officeDocument/2006/relationships" r:id="rId2"/>
        </xdr:cNvPr>
        <xdr:cNvSpPr/>
      </xdr:nvSpPr>
      <xdr:spPr>
        <a:xfrm>
          <a:off x="8763000" y="238125"/>
          <a:ext cx="1562100" cy="27622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Despesas Fixas</a:t>
          </a:r>
        </a:p>
      </xdr:txBody>
    </xdr:sp>
    <xdr:clientData/>
  </xdr:twoCellAnchor>
  <xdr:twoCellAnchor>
    <xdr:from>
      <xdr:col>11</xdr:col>
      <xdr:colOff>533400</xdr:colOff>
      <xdr:row>1</xdr:row>
      <xdr:rowOff>47625</xdr:rowOff>
    </xdr:from>
    <xdr:to>
      <xdr:col>14</xdr:col>
      <xdr:colOff>266700</xdr:colOff>
      <xdr:row>1</xdr:row>
      <xdr:rowOff>323850</xdr:rowOff>
    </xdr:to>
    <xdr:sp macro="" textlink="">
      <xdr:nvSpPr>
        <xdr:cNvPr id="5" name="Retângulo Arredondado 4">
          <a:hlinkClick xmlns:r="http://schemas.openxmlformats.org/officeDocument/2006/relationships" r:id="rId3"/>
        </xdr:cNvPr>
        <xdr:cNvSpPr/>
      </xdr:nvSpPr>
      <xdr:spPr>
        <a:xfrm>
          <a:off x="10782300" y="238125"/>
          <a:ext cx="1562100" cy="27622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Controle</a:t>
          </a:r>
          <a:r>
            <a:rPr lang="pt-BR" sz="1200" b="1" baseline="0"/>
            <a:t> de Estoque</a:t>
          </a:r>
        </a:p>
        <a:p>
          <a:pPr algn="ctr"/>
          <a:endParaRPr lang="pt-BR" sz="1200" b="1"/>
        </a:p>
      </xdr:txBody>
    </xdr:sp>
    <xdr:clientData/>
  </xdr:twoCellAnchor>
  <xdr:twoCellAnchor>
    <xdr:from>
      <xdr:col>6</xdr:col>
      <xdr:colOff>809625</xdr:colOff>
      <xdr:row>1</xdr:row>
      <xdr:rowOff>47625</xdr:rowOff>
    </xdr:from>
    <xdr:to>
      <xdr:col>8</xdr:col>
      <xdr:colOff>400050</xdr:colOff>
      <xdr:row>1</xdr:row>
      <xdr:rowOff>323850</xdr:rowOff>
    </xdr:to>
    <xdr:sp macro="" textlink="">
      <xdr:nvSpPr>
        <xdr:cNvPr id="6" name="Retângulo Arredondado 5">
          <a:hlinkClick xmlns:r="http://schemas.openxmlformats.org/officeDocument/2006/relationships" r:id="rId1"/>
        </xdr:cNvPr>
        <xdr:cNvSpPr/>
      </xdr:nvSpPr>
      <xdr:spPr>
        <a:xfrm>
          <a:off x="6648450" y="238125"/>
          <a:ext cx="1562100" cy="27622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Menu</a:t>
          </a:r>
        </a:p>
      </xdr:txBody>
    </xdr:sp>
    <xdr:clientData/>
  </xdr:twoCellAnchor>
  <xdr:twoCellAnchor>
    <xdr:from>
      <xdr:col>0</xdr:col>
      <xdr:colOff>542925</xdr:colOff>
      <xdr:row>2</xdr:row>
      <xdr:rowOff>133350</xdr:rowOff>
    </xdr:from>
    <xdr:to>
      <xdr:col>2</xdr:col>
      <xdr:colOff>266700</xdr:colOff>
      <xdr:row>4</xdr:row>
      <xdr:rowOff>47625</xdr:rowOff>
    </xdr:to>
    <xdr:sp macro="[0]!Inserir_Compra" textlink="">
      <xdr:nvSpPr>
        <xdr:cNvPr id="2" name="Retângulo Arredondado 1"/>
        <xdr:cNvSpPr/>
      </xdr:nvSpPr>
      <xdr:spPr>
        <a:xfrm>
          <a:off x="542925" y="704850"/>
          <a:ext cx="1209675" cy="29527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NOVA</a:t>
          </a:r>
          <a:r>
            <a:rPr lang="pt-BR" sz="1200" b="1" baseline="0"/>
            <a:t> COMPRA</a:t>
          </a:r>
          <a:endParaRPr lang="pt-BR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219075</xdr:colOff>
      <xdr:row>1</xdr:row>
      <xdr:rowOff>57150</xdr:rowOff>
    </xdr:from>
    <xdr:to>
      <xdr:col>20</xdr:col>
      <xdr:colOff>504825</xdr:colOff>
      <xdr:row>1</xdr:row>
      <xdr:rowOff>333375</xdr:rowOff>
    </xdr:to>
    <xdr:sp macro="" textlink="">
      <xdr:nvSpPr>
        <xdr:cNvPr id="3" name="Retângulo com Canto Diagonal Aparado 2">
          <a:hlinkClick xmlns:r="http://schemas.openxmlformats.org/officeDocument/2006/relationships" r:id="rId1"/>
        </xdr:cNvPr>
        <xdr:cNvSpPr/>
      </xdr:nvSpPr>
      <xdr:spPr>
        <a:xfrm>
          <a:off x="16421100" y="247650"/>
          <a:ext cx="895350" cy="276225"/>
        </a:xfrm>
        <a:prstGeom prst="snip2DiagRect">
          <a:avLst/>
        </a:prstGeom>
        <a:solidFill>
          <a:srgbClr val="FFC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10</xdr:col>
      <xdr:colOff>19050</xdr:colOff>
      <xdr:row>1</xdr:row>
      <xdr:rowOff>57150</xdr:rowOff>
    </xdr:from>
    <xdr:to>
      <xdr:col>12</xdr:col>
      <xdr:colOff>361950</xdr:colOff>
      <xdr:row>1</xdr:row>
      <xdr:rowOff>333375</xdr:rowOff>
    </xdr:to>
    <xdr:sp macro="" textlink="">
      <xdr:nvSpPr>
        <xdr:cNvPr id="4" name="Retângulo Arredondado 3">
          <a:hlinkClick xmlns:r="http://schemas.openxmlformats.org/officeDocument/2006/relationships" r:id="rId1"/>
        </xdr:cNvPr>
        <xdr:cNvSpPr/>
      </xdr:nvSpPr>
      <xdr:spPr>
        <a:xfrm>
          <a:off x="10734675" y="247650"/>
          <a:ext cx="1562100" cy="276225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114300</xdr:colOff>
      <xdr:row>1</xdr:row>
      <xdr:rowOff>57150</xdr:rowOff>
    </xdr:from>
    <xdr:to>
      <xdr:col>23</xdr:col>
      <xdr:colOff>400050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6449675" y="247650"/>
          <a:ext cx="895350" cy="276225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12</xdr:col>
      <xdr:colOff>285750</xdr:colOff>
      <xdr:row>1</xdr:row>
      <xdr:rowOff>57150</xdr:rowOff>
    </xdr:from>
    <xdr:to>
      <xdr:col>15</xdr:col>
      <xdr:colOff>19050</xdr:colOff>
      <xdr:row>1</xdr:row>
      <xdr:rowOff>333375</xdr:rowOff>
    </xdr:to>
    <xdr:sp macro="" textlink="">
      <xdr:nvSpPr>
        <xdr:cNvPr id="3" name="Retângulo Arredondado 2">
          <a:hlinkClick xmlns:r="http://schemas.openxmlformats.org/officeDocument/2006/relationships" r:id="rId2"/>
        </xdr:cNvPr>
        <xdr:cNvSpPr/>
      </xdr:nvSpPr>
      <xdr:spPr>
        <a:xfrm>
          <a:off x="10525125" y="247650"/>
          <a:ext cx="1562100" cy="276225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Compra</a:t>
          </a:r>
          <a:r>
            <a:rPr lang="pt-BR" sz="1200" b="1" baseline="0">
              <a:solidFill>
                <a:schemeClr val="bg1"/>
              </a:solidFill>
            </a:rPr>
            <a:t> Mercadorias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1</xdr:row>
      <xdr:rowOff>57150</xdr:rowOff>
    </xdr:from>
    <xdr:to>
      <xdr:col>11</xdr:col>
      <xdr:colOff>342900</xdr:colOff>
      <xdr:row>1</xdr:row>
      <xdr:rowOff>333375</xdr:rowOff>
    </xdr:to>
    <xdr:sp macro="" textlink="">
      <xdr:nvSpPr>
        <xdr:cNvPr id="4" name="Retângulo Arredondado 3">
          <a:hlinkClick xmlns:r="http://schemas.openxmlformats.org/officeDocument/2006/relationships" r:id="rId1"/>
        </xdr:cNvPr>
        <xdr:cNvSpPr/>
      </xdr:nvSpPr>
      <xdr:spPr>
        <a:xfrm>
          <a:off x="8410575" y="247650"/>
          <a:ext cx="1562100" cy="276225"/>
        </a:xfrm>
        <a:prstGeom prst="roundRect">
          <a:avLst/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1</xdr:row>
      <xdr:rowOff>57150</xdr:rowOff>
    </xdr:from>
    <xdr:to>
      <xdr:col>22</xdr:col>
      <xdr:colOff>400050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4277975" y="247650"/>
          <a:ext cx="895350" cy="276225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10</xdr:col>
      <xdr:colOff>47625</xdr:colOff>
      <xdr:row>1</xdr:row>
      <xdr:rowOff>57150</xdr:rowOff>
    </xdr:from>
    <xdr:to>
      <xdr:col>12</xdr:col>
      <xdr:colOff>390525</xdr:colOff>
      <xdr:row>1</xdr:row>
      <xdr:rowOff>333375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10687050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1</xdr:row>
      <xdr:rowOff>57150</xdr:rowOff>
    </xdr:from>
    <xdr:to>
      <xdr:col>22</xdr:col>
      <xdr:colOff>400050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5878175" y="247650"/>
          <a:ext cx="895350" cy="276225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5</xdr:col>
      <xdr:colOff>57150</xdr:colOff>
      <xdr:row>3</xdr:row>
      <xdr:rowOff>161925</xdr:rowOff>
    </xdr:from>
    <xdr:to>
      <xdr:col>12</xdr:col>
      <xdr:colOff>361950</xdr:colOff>
      <xdr:row>18</xdr:row>
      <xdr:rowOff>47625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514350</xdr:colOff>
      <xdr:row>24</xdr:row>
      <xdr:rowOff>95250</xdr:rowOff>
    </xdr:from>
    <xdr:to>
      <xdr:col>16</xdr:col>
      <xdr:colOff>200025</xdr:colOff>
      <xdr:row>38</xdr:row>
      <xdr:rowOff>171450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523874</xdr:colOff>
      <xdr:row>42</xdr:row>
      <xdr:rowOff>66675</xdr:rowOff>
    </xdr:from>
    <xdr:to>
      <xdr:col>14</xdr:col>
      <xdr:colOff>476249</xdr:colOff>
      <xdr:row>59</xdr:row>
      <xdr:rowOff>28575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533400</xdr:colOff>
      <xdr:row>1</xdr:row>
      <xdr:rowOff>57150</xdr:rowOff>
    </xdr:from>
    <xdr:to>
      <xdr:col>14</xdr:col>
      <xdr:colOff>266700</xdr:colOff>
      <xdr:row>1</xdr:row>
      <xdr:rowOff>333375</xdr:rowOff>
    </xdr:to>
    <xdr:sp macro="" textlink="">
      <xdr:nvSpPr>
        <xdr:cNvPr id="9" name="Retângulo Arredondado 8">
          <a:hlinkClick xmlns:r="http://schemas.openxmlformats.org/officeDocument/2006/relationships" r:id="rId5"/>
        </xdr:cNvPr>
        <xdr:cNvSpPr/>
      </xdr:nvSpPr>
      <xdr:spPr>
        <a:xfrm>
          <a:off x="8601075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Resultados</a:t>
          </a:r>
        </a:p>
      </xdr:txBody>
    </xdr:sp>
    <xdr:clientData/>
  </xdr:twoCellAnchor>
  <xdr:twoCellAnchor>
    <xdr:from>
      <xdr:col>15</xdr:col>
      <xdr:colOff>114300</xdr:colOff>
      <xdr:row>1</xdr:row>
      <xdr:rowOff>57150</xdr:rowOff>
    </xdr:from>
    <xdr:to>
      <xdr:col>17</xdr:col>
      <xdr:colOff>457200</xdr:colOff>
      <xdr:row>1</xdr:row>
      <xdr:rowOff>333375</xdr:rowOff>
    </xdr:to>
    <xdr:sp macro="" textlink="">
      <xdr:nvSpPr>
        <xdr:cNvPr id="10" name="Retângulo Arredondado 9">
          <a:hlinkClick xmlns:r="http://schemas.openxmlformats.org/officeDocument/2006/relationships" r:id="rId6"/>
        </xdr:cNvPr>
        <xdr:cNvSpPr/>
      </xdr:nvSpPr>
      <xdr:spPr>
        <a:xfrm>
          <a:off x="10620375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Ir</a:t>
          </a:r>
          <a:r>
            <a:rPr lang="pt-BR" sz="1200" b="1" baseline="0">
              <a:solidFill>
                <a:schemeClr val="bg1"/>
              </a:solidFill>
            </a:rPr>
            <a:t> para Semanas</a:t>
          </a:r>
        </a:p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247650</xdr:colOff>
      <xdr:row>1</xdr:row>
      <xdr:rowOff>57150</xdr:rowOff>
    </xdr:from>
    <xdr:to>
      <xdr:col>10</xdr:col>
      <xdr:colOff>590550</xdr:colOff>
      <xdr:row>1</xdr:row>
      <xdr:rowOff>333375</xdr:rowOff>
    </xdr:to>
    <xdr:sp macro="" textlink="">
      <xdr:nvSpPr>
        <xdr:cNvPr id="11" name="Retângulo Arredondado 10">
          <a:hlinkClick xmlns:r="http://schemas.openxmlformats.org/officeDocument/2006/relationships" r:id="rId1"/>
        </xdr:cNvPr>
        <xdr:cNvSpPr/>
      </xdr:nvSpPr>
      <xdr:spPr>
        <a:xfrm>
          <a:off x="6486525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2</xdr:col>
      <xdr:colOff>0</xdr:colOff>
      <xdr:row>64</xdr:row>
      <xdr:rowOff>0</xdr:rowOff>
    </xdr:from>
    <xdr:to>
      <xdr:col>3</xdr:col>
      <xdr:colOff>752475</xdr:colOff>
      <xdr:row>65</xdr:row>
      <xdr:rowOff>85725</xdr:rowOff>
    </xdr:to>
    <xdr:sp macro="" textlink="">
      <xdr:nvSpPr>
        <xdr:cNvPr id="12" name="Retângulo Arredondado 11">
          <a:hlinkClick xmlns:r="http://schemas.openxmlformats.org/officeDocument/2006/relationships" r:id="rId7"/>
        </xdr:cNvPr>
        <xdr:cNvSpPr/>
      </xdr:nvSpPr>
      <xdr:spPr>
        <a:xfrm>
          <a:off x="2181225" y="12582525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>
              <a:solidFill>
                <a:schemeClr val="bg1"/>
              </a:solidFill>
            </a:rPr>
            <a:t>Semana 1</a:t>
          </a:r>
        </a:p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590550</xdr:colOff>
      <xdr:row>64</xdr:row>
      <xdr:rowOff>9525</xdr:rowOff>
    </xdr:from>
    <xdr:to>
      <xdr:col>7</xdr:col>
      <xdr:colOff>323850</xdr:colOff>
      <xdr:row>65</xdr:row>
      <xdr:rowOff>95250</xdr:rowOff>
    </xdr:to>
    <xdr:sp macro="" textlink="">
      <xdr:nvSpPr>
        <xdr:cNvPr id="13" name="Retângulo Arredondado 12">
          <a:hlinkClick xmlns:r="http://schemas.openxmlformats.org/officeDocument/2006/relationships" r:id="rId8"/>
        </xdr:cNvPr>
        <xdr:cNvSpPr/>
      </xdr:nvSpPr>
      <xdr:spPr>
        <a:xfrm>
          <a:off x="4391025" y="125920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Semana 2</a:t>
          </a:r>
          <a:endParaRPr lang="pt-BR" sz="1200">
            <a:solidFill>
              <a:schemeClr val="bg1"/>
            </a:solidFill>
            <a:effectLst/>
          </a:endParaRPr>
        </a:p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314325</xdr:colOff>
      <xdr:row>64</xdr:row>
      <xdr:rowOff>0</xdr:rowOff>
    </xdr:from>
    <xdr:to>
      <xdr:col>11</xdr:col>
      <xdr:colOff>47625</xdr:colOff>
      <xdr:row>65</xdr:row>
      <xdr:rowOff>85725</xdr:rowOff>
    </xdr:to>
    <xdr:sp macro="" textlink="">
      <xdr:nvSpPr>
        <xdr:cNvPr id="14" name="Retângulo Arredondado 13">
          <a:hlinkClick xmlns:r="http://schemas.openxmlformats.org/officeDocument/2006/relationships" r:id="rId9"/>
        </xdr:cNvPr>
        <xdr:cNvSpPr/>
      </xdr:nvSpPr>
      <xdr:spPr>
        <a:xfrm>
          <a:off x="6553200" y="12582525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Semana 3</a:t>
          </a:r>
          <a:endParaRPr lang="pt-BR" sz="12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12</xdr:col>
      <xdr:colOff>85725</xdr:colOff>
      <xdr:row>64</xdr:row>
      <xdr:rowOff>9525</xdr:rowOff>
    </xdr:from>
    <xdr:to>
      <xdr:col>14</xdr:col>
      <xdr:colOff>428625</xdr:colOff>
      <xdr:row>65</xdr:row>
      <xdr:rowOff>95250</xdr:rowOff>
    </xdr:to>
    <xdr:sp macro="" textlink="">
      <xdr:nvSpPr>
        <xdr:cNvPr id="15" name="Retângulo Arredondado 14">
          <a:hlinkClick xmlns:r="http://schemas.openxmlformats.org/officeDocument/2006/relationships" r:id="rId10"/>
        </xdr:cNvPr>
        <xdr:cNvSpPr/>
      </xdr:nvSpPr>
      <xdr:spPr>
        <a:xfrm>
          <a:off x="8763000" y="125920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Semana 4</a:t>
          </a:r>
          <a:endParaRPr lang="pt-BR" sz="1200">
            <a:solidFill>
              <a:schemeClr val="bg1"/>
            </a:solidFill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114300</xdr:colOff>
      <xdr:row>1</xdr:row>
      <xdr:rowOff>57150</xdr:rowOff>
    </xdr:from>
    <xdr:to>
      <xdr:col>23</xdr:col>
      <xdr:colOff>400050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6449675" y="247650"/>
          <a:ext cx="895350" cy="276225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0</xdr:col>
      <xdr:colOff>114299</xdr:colOff>
      <xdr:row>6</xdr:row>
      <xdr:rowOff>47625</xdr:rowOff>
    </xdr:from>
    <xdr:to>
      <xdr:col>1</xdr:col>
      <xdr:colOff>885825</xdr:colOff>
      <xdr:row>7</xdr:row>
      <xdr:rowOff>95250</xdr:rowOff>
    </xdr:to>
    <xdr:sp macro="[0]!Excluir_compra" textlink="">
      <xdr:nvSpPr>
        <xdr:cNvPr id="3" name="Retângulo Arredondado 2"/>
        <xdr:cNvSpPr/>
      </xdr:nvSpPr>
      <xdr:spPr>
        <a:xfrm>
          <a:off x="114299" y="1381125"/>
          <a:ext cx="1381126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Excluir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123824</xdr:colOff>
      <xdr:row>2</xdr:row>
      <xdr:rowOff>180975</xdr:rowOff>
    </xdr:from>
    <xdr:to>
      <xdr:col>1</xdr:col>
      <xdr:colOff>895350</xdr:colOff>
      <xdr:row>4</xdr:row>
      <xdr:rowOff>38100</xdr:rowOff>
    </xdr:to>
    <xdr:sp macro="[0]!Inserir_Venda2" textlink="">
      <xdr:nvSpPr>
        <xdr:cNvPr id="4" name="Retângulo Arredondado 3"/>
        <xdr:cNvSpPr/>
      </xdr:nvSpPr>
      <xdr:spPr>
        <a:xfrm>
          <a:off x="123824" y="752475"/>
          <a:ext cx="1381126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123824</xdr:colOff>
      <xdr:row>4</xdr:row>
      <xdr:rowOff>114300</xdr:rowOff>
    </xdr:from>
    <xdr:to>
      <xdr:col>1</xdr:col>
      <xdr:colOff>895350</xdr:colOff>
      <xdr:row>5</xdr:row>
      <xdr:rowOff>161925</xdr:rowOff>
    </xdr:to>
    <xdr:sp macro="[0]!Inserir_Produto2" textlink="">
      <xdr:nvSpPr>
        <xdr:cNvPr id="5" name="Retângulo Arredondado 4"/>
        <xdr:cNvSpPr/>
      </xdr:nvSpPr>
      <xdr:spPr>
        <a:xfrm>
          <a:off x="123824" y="1066800"/>
          <a:ext cx="1381126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produto</a:t>
          </a:r>
          <a:endParaRPr lang="pt-BR" sz="1400" b="1"/>
        </a:p>
      </xdr:txBody>
    </xdr:sp>
    <xdr:clientData/>
  </xdr:twoCellAnchor>
  <xdr:twoCellAnchor>
    <xdr:from>
      <xdr:col>12</xdr:col>
      <xdr:colOff>723900</xdr:colOff>
      <xdr:row>1</xdr:row>
      <xdr:rowOff>85725</xdr:rowOff>
    </xdr:from>
    <xdr:to>
      <xdr:col>14</xdr:col>
      <xdr:colOff>295275</xdr:colOff>
      <xdr:row>1</xdr:row>
      <xdr:rowOff>323850</xdr:rowOff>
    </xdr:to>
    <xdr:sp macro="[0]!Excluir_compra" textlink="">
      <xdr:nvSpPr>
        <xdr:cNvPr id="6" name="Retângulo Arredondado 5">
          <a:hlinkClick xmlns:r="http://schemas.openxmlformats.org/officeDocument/2006/relationships" r:id="rId2"/>
        </xdr:cNvPr>
        <xdr:cNvSpPr/>
      </xdr:nvSpPr>
      <xdr:spPr>
        <a:xfrm>
          <a:off x="10810875" y="276225"/>
          <a:ext cx="1533525" cy="238125"/>
        </a:xfrm>
        <a:prstGeom prst="roundRect">
          <a:avLst/>
        </a:prstGeom>
        <a:solidFill>
          <a:srgbClr val="C00000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Análise</a:t>
          </a:r>
          <a:r>
            <a:rPr lang="pt-BR" sz="1400" b="1" baseline="0"/>
            <a:t> Semana 1</a:t>
          </a:r>
        </a:p>
      </xdr:txBody>
    </xdr:sp>
    <xdr:clientData/>
  </xdr:twoCellAnchor>
  <xdr:twoCellAnchor>
    <xdr:from>
      <xdr:col>10</xdr:col>
      <xdr:colOff>571500</xdr:colOff>
      <xdr:row>1</xdr:row>
      <xdr:rowOff>57150</xdr:rowOff>
    </xdr:from>
    <xdr:to>
      <xdr:col>12</xdr:col>
      <xdr:colOff>304800</xdr:colOff>
      <xdr:row>1</xdr:row>
      <xdr:rowOff>333375</xdr:rowOff>
    </xdr:to>
    <xdr:sp macro="" textlink="">
      <xdr:nvSpPr>
        <xdr:cNvPr id="7" name="Retângulo Arredondado 6">
          <a:hlinkClick xmlns:r="http://schemas.openxmlformats.org/officeDocument/2006/relationships" r:id="rId1"/>
        </xdr:cNvPr>
        <xdr:cNvSpPr/>
      </xdr:nvSpPr>
      <xdr:spPr>
        <a:xfrm>
          <a:off x="8829675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7</xdr:col>
      <xdr:colOff>1000125</xdr:colOff>
      <xdr:row>1</xdr:row>
      <xdr:rowOff>57150</xdr:rowOff>
    </xdr:from>
    <xdr:to>
      <xdr:col>10</xdr:col>
      <xdr:colOff>66675</xdr:colOff>
      <xdr:row>1</xdr:row>
      <xdr:rowOff>333375</xdr:rowOff>
    </xdr:to>
    <xdr:sp macro="" textlink="">
      <xdr:nvSpPr>
        <xdr:cNvPr id="8" name="Retângulo Arredondado 7">
          <a:hlinkClick xmlns:r="http://schemas.openxmlformats.org/officeDocument/2006/relationships" r:id="rId3"/>
        </xdr:cNvPr>
        <xdr:cNvSpPr/>
      </xdr:nvSpPr>
      <xdr:spPr>
        <a:xfrm>
          <a:off x="6762750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Vendas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38100</xdr:rowOff>
    </xdr:from>
    <xdr:to>
      <xdr:col>2</xdr:col>
      <xdr:colOff>1104900</xdr:colOff>
      <xdr:row>2</xdr:row>
      <xdr:rowOff>123825</xdr:rowOff>
    </xdr:to>
    <xdr:sp macro="" textlink="">
      <xdr:nvSpPr>
        <xdr:cNvPr id="5" name="Retângulo Arredondado 4">
          <a:hlinkClick xmlns:r="http://schemas.openxmlformats.org/officeDocument/2006/relationships" r:id="rId1"/>
        </xdr:cNvPr>
        <xdr:cNvSpPr/>
      </xdr:nvSpPr>
      <xdr:spPr>
        <a:xfrm>
          <a:off x="152400" y="22860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>
              <a:solidFill>
                <a:schemeClr val="bg1"/>
              </a:solidFill>
            </a:rPr>
            <a:t>Semana 1</a:t>
          </a:r>
        </a:p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619124</xdr:colOff>
      <xdr:row>1</xdr:row>
      <xdr:rowOff>47625</xdr:rowOff>
    </xdr:from>
    <xdr:to>
      <xdr:col>11</xdr:col>
      <xdr:colOff>400049</xdr:colOff>
      <xdr:row>3</xdr:row>
      <xdr:rowOff>151257</xdr:rowOff>
    </xdr:to>
    <xdr:sp macro="" textlink="">
      <xdr:nvSpPr>
        <xdr:cNvPr id="6" name="Seta para a Direita 5">
          <a:hlinkClick xmlns:r="http://schemas.openxmlformats.org/officeDocument/2006/relationships" r:id="rId2"/>
        </xdr:cNvPr>
        <xdr:cNvSpPr/>
      </xdr:nvSpPr>
      <xdr:spPr>
        <a:xfrm>
          <a:off x="10687049" y="238125"/>
          <a:ext cx="1590675" cy="484632"/>
        </a:xfrm>
        <a:prstGeom prst="rightArrow">
          <a:avLst/>
        </a:prstGeom>
        <a:noFill/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Próxima Semana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1</xdr:row>
      <xdr:rowOff>57150</xdr:rowOff>
    </xdr:from>
    <xdr:to>
      <xdr:col>22</xdr:col>
      <xdr:colOff>400050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5754350" y="247650"/>
          <a:ext cx="895350" cy="276225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0</xdr:col>
      <xdr:colOff>209550</xdr:colOff>
      <xdr:row>6</xdr:row>
      <xdr:rowOff>66675</xdr:rowOff>
    </xdr:from>
    <xdr:to>
      <xdr:col>0</xdr:col>
      <xdr:colOff>1609725</xdr:colOff>
      <xdr:row>7</xdr:row>
      <xdr:rowOff>114300</xdr:rowOff>
    </xdr:to>
    <xdr:sp macro="[0]!Excluir_compra" textlink="">
      <xdr:nvSpPr>
        <xdr:cNvPr id="3" name="Retângulo Arredondado 2"/>
        <xdr:cNvSpPr/>
      </xdr:nvSpPr>
      <xdr:spPr>
        <a:xfrm>
          <a:off x="209550" y="1400175"/>
          <a:ext cx="140017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Excluir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200025</xdr:colOff>
      <xdr:row>3</xdr:row>
      <xdr:rowOff>9525</xdr:rowOff>
    </xdr:from>
    <xdr:to>
      <xdr:col>0</xdr:col>
      <xdr:colOff>1600200</xdr:colOff>
      <xdr:row>4</xdr:row>
      <xdr:rowOff>57150</xdr:rowOff>
    </xdr:to>
    <xdr:sp macro="[0]!Inserir_Venda2" textlink="">
      <xdr:nvSpPr>
        <xdr:cNvPr id="4" name="Retângulo Arredondado 3"/>
        <xdr:cNvSpPr/>
      </xdr:nvSpPr>
      <xdr:spPr>
        <a:xfrm>
          <a:off x="200025" y="771525"/>
          <a:ext cx="140017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209550</xdr:colOff>
      <xdr:row>4</xdr:row>
      <xdr:rowOff>133350</xdr:rowOff>
    </xdr:from>
    <xdr:to>
      <xdr:col>0</xdr:col>
      <xdr:colOff>1600200</xdr:colOff>
      <xdr:row>5</xdr:row>
      <xdr:rowOff>180975</xdr:rowOff>
    </xdr:to>
    <xdr:sp macro="[0]!Inserir_Produto2" textlink="">
      <xdr:nvSpPr>
        <xdr:cNvPr id="5" name="Retângulo Arredondado 4"/>
        <xdr:cNvSpPr/>
      </xdr:nvSpPr>
      <xdr:spPr>
        <a:xfrm>
          <a:off x="209550" y="1085850"/>
          <a:ext cx="1390650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produto</a:t>
          </a:r>
          <a:endParaRPr lang="pt-BR" sz="1400" b="1"/>
        </a:p>
      </xdr:txBody>
    </xdr:sp>
    <xdr:clientData/>
  </xdr:twoCellAnchor>
  <xdr:twoCellAnchor>
    <xdr:from>
      <xdr:col>11</xdr:col>
      <xdr:colOff>666750</xdr:colOff>
      <xdr:row>1</xdr:row>
      <xdr:rowOff>85725</xdr:rowOff>
    </xdr:from>
    <xdr:to>
      <xdr:col>13</xdr:col>
      <xdr:colOff>238125</xdr:colOff>
      <xdr:row>1</xdr:row>
      <xdr:rowOff>323850</xdr:rowOff>
    </xdr:to>
    <xdr:sp macro="[0]!Excluir_compra" textlink="">
      <xdr:nvSpPr>
        <xdr:cNvPr id="6" name="Retângulo Arredondado 5">
          <a:hlinkClick xmlns:r="http://schemas.openxmlformats.org/officeDocument/2006/relationships" r:id="rId2"/>
        </xdr:cNvPr>
        <xdr:cNvSpPr/>
      </xdr:nvSpPr>
      <xdr:spPr>
        <a:xfrm>
          <a:off x="10677525" y="276225"/>
          <a:ext cx="1533525" cy="2381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Análise</a:t>
          </a:r>
          <a:r>
            <a:rPr lang="pt-BR" sz="1400" b="1" baseline="0"/>
            <a:t> Semana 2</a:t>
          </a:r>
        </a:p>
      </xdr:txBody>
    </xdr:sp>
    <xdr:clientData/>
  </xdr:twoCellAnchor>
  <xdr:twoCellAnchor>
    <xdr:from>
      <xdr:col>9</xdr:col>
      <xdr:colOff>276225</xdr:colOff>
      <xdr:row>1</xdr:row>
      <xdr:rowOff>57150</xdr:rowOff>
    </xdr:from>
    <xdr:to>
      <xdr:col>11</xdr:col>
      <xdr:colOff>180975</xdr:colOff>
      <xdr:row>1</xdr:row>
      <xdr:rowOff>333375</xdr:rowOff>
    </xdr:to>
    <xdr:sp macro="" textlink="">
      <xdr:nvSpPr>
        <xdr:cNvPr id="7" name="Retângulo Arredondado 6">
          <a:hlinkClick xmlns:r="http://schemas.openxmlformats.org/officeDocument/2006/relationships" r:id="rId1"/>
        </xdr:cNvPr>
        <xdr:cNvSpPr/>
      </xdr:nvSpPr>
      <xdr:spPr>
        <a:xfrm>
          <a:off x="8629650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6</xdr:col>
      <xdr:colOff>657225</xdr:colOff>
      <xdr:row>1</xdr:row>
      <xdr:rowOff>57150</xdr:rowOff>
    </xdr:from>
    <xdr:to>
      <xdr:col>8</xdr:col>
      <xdr:colOff>485775</xdr:colOff>
      <xdr:row>1</xdr:row>
      <xdr:rowOff>333375</xdr:rowOff>
    </xdr:to>
    <xdr:sp macro="" textlink="">
      <xdr:nvSpPr>
        <xdr:cNvPr id="8" name="Retângulo Arredondado 7">
          <a:hlinkClick xmlns:r="http://schemas.openxmlformats.org/officeDocument/2006/relationships" r:id="rId3"/>
        </xdr:cNvPr>
        <xdr:cNvSpPr/>
      </xdr:nvSpPr>
      <xdr:spPr>
        <a:xfrm>
          <a:off x="6515100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Vendas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38100</xdr:rowOff>
    </xdr:from>
    <xdr:to>
      <xdr:col>2</xdr:col>
      <xdr:colOff>1104900</xdr:colOff>
      <xdr:row>2</xdr:row>
      <xdr:rowOff>123825</xdr:rowOff>
    </xdr:to>
    <xdr:sp macro="" textlink="">
      <xdr:nvSpPr>
        <xdr:cNvPr id="3" name="Retângulo Arredondado 2">
          <a:hlinkClick xmlns:r="http://schemas.openxmlformats.org/officeDocument/2006/relationships" r:id="rId1"/>
        </xdr:cNvPr>
        <xdr:cNvSpPr/>
      </xdr:nvSpPr>
      <xdr:spPr>
        <a:xfrm>
          <a:off x="152400" y="228600"/>
          <a:ext cx="21717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>
              <a:solidFill>
                <a:schemeClr val="bg1"/>
              </a:solidFill>
            </a:rPr>
            <a:t>Semana 2</a:t>
          </a:r>
        </a:p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9525</xdr:colOff>
      <xdr:row>0</xdr:row>
      <xdr:rowOff>133350</xdr:rowOff>
    </xdr:from>
    <xdr:to>
      <xdr:col>13</xdr:col>
      <xdr:colOff>381000</xdr:colOff>
      <xdr:row>3</xdr:row>
      <xdr:rowOff>46482</xdr:rowOff>
    </xdr:to>
    <xdr:sp macro="" textlink="">
      <xdr:nvSpPr>
        <xdr:cNvPr id="4" name="Seta para a Direita 3">
          <a:hlinkClick xmlns:r="http://schemas.openxmlformats.org/officeDocument/2006/relationships" r:id="rId2"/>
        </xdr:cNvPr>
        <xdr:cNvSpPr/>
      </xdr:nvSpPr>
      <xdr:spPr>
        <a:xfrm>
          <a:off x="8048625" y="133350"/>
          <a:ext cx="1590675" cy="484632"/>
        </a:xfrm>
        <a:prstGeom prst="rightArrow">
          <a:avLst/>
        </a:prstGeom>
        <a:noFill/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Próxima Semana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1</xdr:row>
      <xdr:rowOff>57150</xdr:rowOff>
    </xdr:from>
    <xdr:to>
      <xdr:col>22</xdr:col>
      <xdr:colOff>400050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5754350" y="247650"/>
          <a:ext cx="895350" cy="276225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0</xdr:col>
      <xdr:colOff>180975</xdr:colOff>
      <xdr:row>6</xdr:row>
      <xdr:rowOff>76200</xdr:rowOff>
    </xdr:from>
    <xdr:to>
      <xdr:col>0</xdr:col>
      <xdr:colOff>1581150</xdr:colOff>
      <xdr:row>7</xdr:row>
      <xdr:rowOff>123825</xdr:rowOff>
    </xdr:to>
    <xdr:sp macro="[0]!Excluir_compra" textlink="">
      <xdr:nvSpPr>
        <xdr:cNvPr id="3" name="Retângulo Arredondado 2"/>
        <xdr:cNvSpPr/>
      </xdr:nvSpPr>
      <xdr:spPr>
        <a:xfrm>
          <a:off x="180975" y="1409700"/>
          <a:ext cx="140017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Excluir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161925</xdr:colOff>
      <xdr:row>3</xdr:row>
      <xdr:rowOff>19050</xdr:rowOff>
    </xdr:from>
    <xdr:to>
      <xdr:col>0</xdr:col>
      <xdr:colOff>1562100</xdr:colOff>
      <xdr:row>4</xdr:row>
      <xdr:rowOff>66675</xdr:rowOff>
    </xdr:to>
    <xdr:sp macro="[0]!Inserir_Venda2" textlink="">
      <xdr:nvSpPr>
        <xdr:cNvPr id="4" name="Retângulo Arredondado 3"/>
        <xdr:cNvSpPr/>
      </xdr:nvSpPr>
      <xdr:spPr>
        <a:xfrm>
          <a:off x="161925" y="781050"/>
          <a:ext cx="140017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171450</xdr:colOff>
      <xdr:row>4</xdr:row>
      <xdr:rowOff>142875</xdr:rowOff>
    </xdr:from>
    <xdr:to>
      <xdr:col>0</xdr:col>
      <xdr:colOff>1562100</xdr:colOff>
      <xdr:row>6</xdr:row>
      <xdr:rowOff>0</xdr:rowOff>
    </xdr:to>
    <xdr:sp macro="[0]!Inserir_Produto2" textlink="">
      <xdr:nvSpPr>
        <xdr:cNvPr id="5" name="Retângulo Arredondado 4"/>
        <xdr:cNvSpPr/>
      </xdr:nvSpPr>
      <xdr:spPr>
        <a:xfrm>
          <a:off x="171450" y="1095375"/>
          <a:ext cx="1390650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produto</a:t>
          </a:r>
          <a:endParaRPr lang="pt-BR" sz="1400" b="1"/>
        </a:p>
      </xdr:txBody>
    </xdr:sp>
    <xdr:clientData/>
  </xdr:twoCellAnchor>
  <xdr:twoCellAnchor>
    <xdr:from>
      <xdr:col>11</xdr:col>
      <xdr:colOff>504825</xdr:colOff>
      <xdr:row>1</xdr:row>
      <xdr:rowOff>95250</xdr:rowOff>
    </xdr:from>
    <xdr:to>
      <xdr:col>12</xdr:col>
      <xdr:colOff>1047750</xdr:colOff>
      <xdr:row>1</xdr:row>
      <xdr:rowOff>333375</xdr:rowOff>
    </xdr:to>
    <xdr:sp macro="[0]!Excluir_compra" textlink="">
      <xdr:nvSpPr>
        <xdr:cNvPr id="6" name="Retângulo Arredondado 5">
          <a:hlinkClick xmlns:r="http://schemas.openxmlformats.org/officeDocument/2006/relationships" r:id="rId2"/>
        </xdr:cNvPr>
        <xdr:cNvSpPr/>
      </xdr:nvSpPr>
      <xdr:spPr>
        <a:xfrm>
          <a:off x="10725150" y="285750"/>
          <a:ext cx="1533525" cy="2381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Análise</a:t>
          </a:r>
          <a:r>
            <a:rPr lang="pt-BR" sz="1400" b="1" baseline="0"/>
            <a:t> Semana 3</a:t>
          </a:r>
        </a:p>
      </xdr:txBody>
    </xdr:sp>
    <xdr:clientData/>
  </xdr:twoCellAnchor>
  <xdr:twoCellAnchor>
    <xdr:from>
      <xdr:col>9</xdr:col>
      <xdr:colOff>200025</xdr:colOff>
      <xdr:row>1</xdr:row>
      <xdr:rowOff>66675</xdr:rowOff>
    </xdr:from>
    <xdr:to>
      <xdr:col>10</xdr:col>
      <xdr:colOff>942975</xdr:colOff>
      <xdr:row>1</xdr:row>
      <xdr:rowOff>342900</xdr:rowOff>
    </xdr:to>
    <xdr:sp macro="" textlink="">
      <xdr:nvSpPr>
        <xdr:cNvPr id="7" name="Retângulo Arredondado 6">
          <a:hlinkClick xmlns:r="http://schemas.openxmlformats.org/officeDocument/2006/relationships" r:id="rId1"/>
        </xdr:cNvPr>
        <xdr:cNvSpPr/>
      </xdr:nvSpPr>
      <xdr:spPr>
        <a:xfrm>
          <a:off x="8601075" y="257175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6</xdr:col>
      <xdr:colOff>314325</xdr:colOff>
      <xdr:row>1</xdr:row>
      <xdr:rowOff>57150</xdr:rowOff>
    </xdr:from>
    <xdr:to>
      <xdr:col>8</xdr:col>
      <xdr:colOff>142875</xdr:colOff>
      <xdr:row>1</xdr:row>
      <xdr:rowOff>333375</xdr:rowOff>
    </xdr:to>
    <xdr:sp macro="" textlink="">
      <xdr:nvSpPr>
        <xdr:cNvPr id="8" name="Retângulo Arredondado 7">
          <a:hlinkClick xmlns:r="http://schemas.openxmlformats.org/officeDocument/2006/relationships" r:id="rId3"/>
        </xdr:cNvPr>
        <xdr:cNvSpPr/>
      </xdr:nvSpPr>
      <xdr:spPr>
        <a:xfrm>
          <a:off x="6219825" y="247650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Vendas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38100</xdr:rowOff>
    </xdr:from>
    <xdr:to>
      <xdr:col>2</xdr:col>
      <xdr:colOff>1104900</xdr:colOff>
      <xdr:row>2</xdr:row>
      <xdr:rowOff>123825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152400" y="228600"/>
          <a:ext cx="1943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>
              <a:solidFill>
                <a:schemeClr val="bg1"/>
              </a:solidFill>
            </a:rPr>
            <a:t>Semana 3</a:t>
          </a:r>
        </a:p>
        <a:p>
          <a:pPr algn="ctr"/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133350</xdr:colOff>
      <xdr:row>0</xdr:row>
      <xdr:rowOff>180975</xdr:rowOff>
    </xdr:from>
    <xdr:to>
      <xdr:col>17</xdr:col>
      <xdr:colOff>504825</xdr:colOff>
      <xdr:row>3</xdr:row>
      <xdr:rowOff>94107</xdr:rowOff>
    </xdr:to>
    <xdr:sp macro="" textlink="">
      <xdr:nvSpPr>
        <xdr:cNvPr id="3" name="Seta para a Direita 2">
          <a:hlinkClick xmlns:r="http://schemas.openxmlformats.org/officeDocument/2006/relationships" r:id="rId2"/>
        </xdr:cNvPr>
        <xdr:cNvSpPr/>
      </xdr:nvSpPr>
      <xdr:spPr>
        <a:xfrm>
          <a:off x="10610850" y="180975"/>
          <a:ext cx="1590675" cy="484632"/>
        </a:xfrm>
        <a:prstGeom prst="rightArrow">
          <a:avLst/>
        </a:prstGeom>
        <a:noFill/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Próxima Semana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1</xdr:row>
      <xdr:rowOff>57150</xdr:rowOff>
    </xdr:from>
    <xdr:to>
      <xdr:col>22</xdr:col>
      <xdr:colOff>400050</xdr:colOff>
      <xdr:row>1</xdr:row>
      <xdr:rowOff>333375</xdr:rowOff>
    </xdr:to>
    <xdr:sp macro="" textlink="">
      <xdr:nvSpPr>
        <xdr:cNvPr id="2" name="Retângulo com Canto Diagonal Aparado 1">
          <a:hlinkClick xmlns:r="http://schemas.openxmlformats.org/officeDocument/2006/relationships" r:id="rId1"/>
        </xdr:cNvPr>
        <xdr:cNvSpPr/>
      </xdr:nvSpPr>
      <xdr:spPr>
        <a:xfrm>
          <a:off x="15754350" y="247650"/>
          <a:ext cx="895350" cy="276225"/>
        </a:xfrm>
        <a:prstGeom prst="snip2Diag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Menu</a:t>
          </a:r>
          <a:endParaRPr lang="pt-BR" sz="1100" b="1"/>
        </a:p>
      </xdr:txBody>
    </xdr:sp>
    <xdr:clientData/>
  </xdr:twoCellAnchor>
  <xdr:twoCellAnchor>
    <xdr:from>
      <xdr:col>0</xdr:col>
      <xdr:colOff>152400</xdr:colOff>
      <xdr:row>6</xdr:row>
      <xdr:rowOff>57150</xdr:rowOff>
    </xdr:from>
    <xdr:to>
      <xdr:col>0</xdr:col>
      <xdr:colOff>1552575</xdr:colOff>
      <xdr:row>7</xdr:row>
      <xdr:rowOff>104775</xdr:rowOff>
    </xdr:to>
    <xdr:sp macro="[0]!Excluir_compra" textlink="">
      <xdr:nvSpPr>
        <xdr:cNvPr id="3" name="Retângulo Arredondado 2"/>
        <xdr:cNvSpPr/>
      </xdr:nvSpPr>
      <xdr:spPr>
        <a:xfrm>
          <a:off x="152400" y="1390650"/>
          <a:ext cx="140017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Excluir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161925</xdr:colOff>
      <xdr:row>3</xdr:row>
      <xdr:rowOff>0</xdr:rowOff>
    </xdr:from>
    <xdr:to>
      <xdr:col>0</xdr:col>
      <xdr:colOff>1562100</xdr:colOff>
      <xdr:row>4</xdr:row>
      <xdr:rowOff>47625</xdr:rowOff>
    </xdr:to>
    <xdr:sp macro="[0]!Inserir_Venda2" textlink="">
      <xdr:nvSpPr>
        <xdr:cNvPr id="4" name="Retângulo Arredondado 3"/>
        <xdr:cNvSpPr/>
      </xdr:nvSpPr>
      <xdr:spPr>
        <a:xfrm>
          <a:off x="161925" y="762000"/>
          <a:ext cx="1400175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Venda</a:t>
          </a:r>
          <a:endParaRPr lang="pt-BR" sz="1400" b="1"/>
        </a:p>
      </xdr:txBody>
    </xdr:sp>
    <xdr:clientData/>
  </xdr:twoCellAnchor>
  <xdr:twoCellAnchor>
    <xdr:from>
      <xdr:col>0</xdr:col>
      <xdr:colOff>161925</xdr:colOff>
      <xdr:row>4</xdr:row>
      <xdr:rowOff>123825</xdr:rowOff>
    </xdr:from>
    <xdr:to>
      <xdr:col>0</xdr:col>
      <xdr:colOff>1552575</xdr:colOff>
      <xdr:row>5</xdr:row>
      <xdr:rowOff>171450</xdr:rowOff>
    </xdr:to>
    <xdr:sp macro="[0]!Inserir_Produto2" textlink="">
      <xdr:nvSpPr>
        <xdr:cNvPr id="5" name="Retângulo Arredondado 4"/>
        <xdr:cNvSpPr/>
      </xdr:nvSpPr>
      <xdr:spPr>
        <a:xfrm>
          <a:off x="161925" y="1076325"/>
          <a:ext cx="1390650" cy="23812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Inserir</a:t>
          </a:r>
          <a:r>
            <a:rPr lang="pt-BR" sz="1400" b="1" baseline="0"/>
            <a:t> produto</a:t>
          </a:r>
          <a:endParaRPr lang="pt-BR" sz="1400" b="1"/>
        </a:p>
      </xdr:txBody>
    </xdr:sp>
    <xdr:clientData/>
  </xdr:twoCellAnchor>
  <xdr:twoCellAnchor>
    <xdr:from>
      <xdr:col>11</xdr:col>
      <xdr:colOff>638175</xdr:colOff>
      <xdr:row>1</xdr:row>
      <xdr:rowOff>85725</xdr:rowOff>
    </xdr:from>
    <xdr:to>
      <xdr:col>13</xdr:col>
      <xdr:colOff>209550</xdr:colOff>
      <xdr:row>1</xdr:row>
      <xdr:rowOff>323850</xdr:rowOff>
    </xdr:to>
    <xdr:sp macro="[0]!Excluir_compra" textlink="">
      <xdr:nvSpPr>
        <xdr:cNvPr id="6" name="Retângulo Arredondado 5">
          <a:hlinkClick xmlns:r="http://schemas.openxmlformats.org/officeDocument/2006/relationships" r:id="rId2"/>
        </xdr:cNvPr>
        <xdr:cNvSpPr/>
      </xdr:nvSpPr>
      <xdr:spPr>
        <a:xfrm>
          <a:off x="10744200" y="276225"/>
          <a:ext cx="1533525" cy="2381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Análise</a:t>
          </a:r>
          <a:r>
            <a:rPr lang="pt-BR" sz="1400" b="1" baseline="0"/>
            <a:t> Semana 4</a:t>
          </a:r>
        </a:p>
      </xdr:txBody>
    </xdr:sp>
    <xdr:clientData/>
  </xdr:twoCellAnchor>
  <xdr:twoCellAnchor>
    <xdr:from>
      <xdr:col>9</xdr:col>
      <xdr:colOff>342900</xdr:colOff>
      <xdr:row>1</xdr:row>
      <xdr:rowOff>66675</xdr:rowOff>
    </xdr:from>
    <xdr:to>
      <xdr:col>11</xdr:col>
      <xdr:colOff>85725</xdr:colOff>
      <xdr:row>1</xdr:row>
      <xdr:rowOff>342900</xdr:rowOff>
    </xdr:to>
    <xdr:sp macro="" textlink="">
      <xdr:nvSpPr>
        <xdr:cNvPr id="7" name="Retângulo Arredondado 6">
          <a:hlinkClick xmlns:r="http://schemas.openxmlformats.org/officeDocument/2006/relationships" r:id="rId1"/>
        </xdr:cNvPr>
        <xdr:cNvSpPr/>
      </xdr:nvSpPr>
      <xdr:spPr>
        <a:xfrm>
          <a:off x="8629650" y="257175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Menu</a:t>
          </a:r>
        </a:p>
      </xdr:txBody>
    </xdr:sp>
    <xdr:clientData/>
  </xdr:twoCellAnchor>
  <xdr:twoCellAnchor>
    <xdr:from>
      <xdr:col>6</xdr:col>
      <xdr:colOff>561975</xdr:colOff>
      <xdr:row>1</xdr:row>
      <xdr:rowOff>66675</xdr:rowOff>
    </xdr:from>
    <xdr:to>
      <xdr:col>8</xdr:col>
      <xdr:colOff>390525</xdr:colOff>
      <xdr:row>1</xdr:row>
      <xdr:rowOff>342900</xdr:rowOff>
    </xdr:to>
    <xdr:sp macro="" textlink="">
      <xdr:nvSpPr>
        <xdr:cNvPr id="8" name="Retângulo Arredondado 7">
          <a:hlinkClick xmlns:r="http://schemas.openxmlformats.org/officeDocument/2006/relationships" r:id="rId3"/>
        </xdr:cNvPr>
        <xdr:cNvSpPr/>
      </xdr:nvSpPr>
      <xdr:spPr>
        <a:xfrm>
          <a:off x="6353175" y="257175"/>
          <a:ext cx="1562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>
              <a:solidFill>
                <a:schemeClr val="bg1"/>
              </a:solidFill>
            </a:rPr>
            <a:t>Vendas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38100</xdr:rowOff>
    </xdr:from>
    <xdr:to>
      <xdr:col>2</xdr:col>
      <xdr:colOff>1104900</xdr:colOff>
      <xdr:row>2</xdr:row>
      <xdr:rowOff>123825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152400" y="228600"/>
          <a:ext cx="1943100" cy="27622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pt-BR" sz="1200" b="1" baseline="0">
              <a:solidFill>
                <a:schemeClr val="bg1"/>
              </a:solidFill>
            </a:rPr>
            <a:t>Semana 4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rla Marcondes" refreshedDate="44704.724604513889" createdVersion="6" refreshedVersion="6" minRefreshableVersion="3" recordCount="7">
  <cacheSource type="worksheet">
    <worksheetSource name="Tabela5"/>
  </cacheSource>
  <cacheFields count="12">
    <cacheField name="ID Cliente" numFmtId="0">
      <sharedItems containsString="0" containsBlank="1" containsNumber="1" containsInteger="1" minValue="3" maxValue="5"/>
    </cacheField>
    <cacheField name="Data" numFmtId="0">
      <sharedItems containsNonDate="0" containsDate="1" containsString="0" containsBlank="1" minDate="2022-05-15T00:00:00" maxDate="2022-05-24T00:00:00" count="3">
        <d v="2022-05-23T00:00:00"/>
        <d v="2022-05-15T00:00:00"/>
        <m/>
      </sharedItems>
    </cacheField>
    <cacheField name="Produto" numFmtId="0">
      <sharedItems containsBlank="1" count="7">
        <s v="Vodka"/>
        <s v="Pão de Forma"/>
        <s v="Cerveja"/>
        <s v="Alface"/>
        <s v="Barra de Cereal"/>
        <s v="Amendoim"/>
        <m/>
      </sharedItems>
    </cacheField>
    <cacheField name="Medida" numFmtId="0">
      <sharedItems/>
    </cacheField>
    <cacheField name="Quantidade" numFmtId="0">
      <sharedItems containsString="0" containsBlank="1" containsNumber="1" containsInteger="1" minValue="1" maxValue="12"/>
    </cacheField>
    <cacheField name="Valor Unitá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109.8"/>
    </cacheField>
    <cacheField name="Desconto" numFmtId="9">
      <sharedItems containsString="0" containsBlank="1" containsNumber="1" minValue="0" maxValue="0.13"/>
    </cacheField>
    <cacheField name="Entrega" numFmtId="44">
      <sharedItems containsBlank="1" count="4">
        <m/>
        <s v="Zona Oeste"/>
        <s v="Centro"/>
        <s v="Loja"/>
      </sharedItems>
    </cacheField>
    <cacheField name="Valor Entrega" numFmtId="44">
      <sharedItems containsSemiMixedTypes="0" containsString="0" containsNumber="1" containsInteger="1" minValue="0" maxValue="8" count="3">
        <n v="0"/>
        <n v="8"/>
        <n v="5"/>
      </sharedItems>
    </cacheField>
    <cacheField name="Total" numFmtId="44">
      <sharedItems containsSemiMixedTypes="0" containsString="0" containsNumber="1" minValue="0" maxValue="95.525999999999996"/>
    </cacheField>
    <cacheField name="Total Cliente" numFmtId="44">
      <sharedItems containsBlank="1" containsMixedTypes="1" containsNumber="1" minValue="3.4499999999999997" maxValue="136.472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rla Marcondes" refreshedDate="44704.739096180558" createdVersion="6" refreshedVersion="6" minRefreshableVersion="3" recordCount="17">
  <cacheSource type="worksheet">
    <worksheetSource name="Tabela578"/>
  </cacheSource>
  <cacheFields count="12">
    <cacheField name="ID Cliente" numFmtId="0">
      <sharedItems containsSemiMixedTypes="0" containsString="0" containsNumber="1" containsInteger="1" minValue="1" maxValue="11"/>
    </cacheField>
    <cacheField name="Data" numFmtId="14">
      <sharedItems containsSemiMixedTypes="0" containsNonDate="0" containsDate="1" containsString="0" minDate="2022-05-25T00:00:00" maxDate="2022-05-26T00:00:00" count="1">
        <d v="2022-05-25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1" maxValue="70"/>
    </cacheField>
    <cacheField name="Valor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0.79" maxValue="318"/>
    </cacheField>
    <cacheField name="Desconto" numFmtId="9">
      <sharedItems containsSemiMixedTypes="0" containsString="0" containsNumber="1" minValue="0" maxValue="0.15"/>
    </cacheField>
    <cacheField name="Entrega" numFmtId="44">
      <sharedItems containsBlank="1"/>
    </cacheField>
    <cacheField name="Valor Entrega" numFmtId="44">
      <sharedItems containsSemiMixedTypes="0" containsString="0" containsNumber="1" minValue="0" maxValue="8"/>
    </cacheField>
    <cacheField name="Total" numFmtId="44">
      <sharedItems containsSemiMixedTypes="0" containsString="0" containsNumber="1" minValue="0.79" maxValue="270.3"/>
    </cacheField>
    <cacheField name="Total Cliente" numFmtId="44">
      <sharedItems containsMixedTypes="1" containsNumber="1" minValue="3.9501000000000004" maxValue="980.921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Carla Marcondes" refreshedDate="44704.747056828703" createdVersion="6" refreshedVersion="6" minRefreshableVersion="3" recordCount="10">
  <cacheSource type="worksheet">
    <worksheetSource name="Tabela5789"/>
  </cacheSource>
  <cacheFields count="12">
    <cacheField name="ID Cliente" numFmtId="0">
      <sharedItems containsString="0" containsBlank="1" containsNumber="1" containsInteger="1" minValue="5" maxValue="37"/>
    </cacheField>
    <cacheField name="Data" numFmtId="0">
      <sharedItems containsNonDate="0" containsDate="1" containsString="0" containsBlank="1" minDate="2022-05-30T00:00:00" maxDate="2022-05-31T00:00:00" count="2">
        <d v="2022-05-30T00:00:00"/>
        <m/>
      </sharedItems>
    </cacheField>
    <cacheField name="Produto" numFmtId="0">
      <sharedItems containsBlank="1"/>
    </cacheField>
    <cacheField name="Medida" numFmtId="0">
      <sharedItems/>
    </cacheField>
    <cacheField name="Quantidade" numFmtId="0">
      <sharedItems containsString="0" containsBlank="1" containsNumber="1" containsInteger="1" minValue="1" maxValue="25"/>
    </cacheField>
    <cacheField name="Valor Unitário" numFmtId="44">
      <sharedItems containsSemiMixedTypes="0" containsString="0" containsNumber="1" minValue="0" maxValue="54.9"/>
    </cacheField>
    <cacheField name="Subtotal" numFmtId="44">
      <sharedItems containsSemiMixedTypes="0" containsString="0" containsNumber="1" minValue="0" maxValue="397.5"/>
    </cacheField>
    <cacheField name="Desconto" numFmtId="9">
      <sharedItems containsString="0" containsBlank="1" containsNumber="1" minValue="0" maxValue="0.25"/>
    </cacheField>
    <cacheField name="Entrega" numFmtId="44">
      <sharedItems containsBlank="1"/>
    </cacheField>
    <cacheField name="Valor Entrega" numFmtId="44">
      <sharedItems containsSemiMixedTypes="0" containsString="0" containsNumber="1" minValue="0" maxValue="6.5"/>
    </cacheField>
    <cacheField name="Total" numFmtId="44">
      <sharedItems containsSemiMixedTypes="0" containsString="0" containsNumber="1" minValue="0" maxValue="304.625"/>
    </cacheField>
    <cacheField name="Total Cliente" numFmtId="44">
      <sharedItems containsMixedTypes="1" containsNumber="1" minValue="5.75" maxValue="304.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arla Marcondes" refreshedDate="44704.748170486113" createdVersion="6" refreshedVersion="6" minRefreshableVersion="3" recordCount="13">
  <cacheSource type="worksheet">
    <worksheetSource name="Tabela57"/>
  </cacheSource>
  <cacheFields count="12">
    <cacheField name="ID Cliente" numFmtId="0">
      <sharedItems containsString="0" containsBlank="1" containsNumber="1" containsInteger="1" minValue="1" maxValue="10"/>
    </cacheField>
    <cacheField name="Data" numFmtId="0">
      <sharedItems containsNonDate="0" containsDate="1" containsString="0" containsBlank="1" minDate="2022-05-21T00:00:00" maxDate="2022-05-24T00:00:00" count="4">
        <d v="2022-05-21T00:00:00"/>
        <d v="2022-05-22T00:00:00"/>
        <d v="2022-05-23T00:00:00"/>
        <m/>
      </sharedItems>
    </cacheField>
    <cacheField name="Produto" numFmtId="0">
      <sharedItems containsBlank="1"/>
    </cacheField>
    <cacheField name="Medida" numFmtId="0">
      <sharedItems/>
    </cacheField>
    <cacheField name="Quantidade" numFmtId="0">
      <sharedItems containsString="0" containsBlank="1" containsNumber="1" minValue="0.5" maxValue="20"/>
    </cacheField>
    <cacheField name="Valor Unitário" numFmtId="44">
      <sharedItems containsSemiMixedTypes="0" containsString="0" containsNumber="1" minValue="0" maxValue="25.9"/>
    </cacheField>
    <cacheField name="Subtotal" numFmtId="44">
      <sharedItems containsSemiMixedTypes="0" containsString="0" containsNumber="1" minValue="0" maxValue="43.8"/>
    </cacheField>
    <cacheField name="Desconto" numFmtId="9">
      <sharedItems containsString="0" containsBlank="1" containsNumber="1" minValue="0" maxValue="0.05"/>
    </cacheField>
    <cacheField name="Entrega" numFmtId="44">
      <sharedItems containsBlank="1" count="4">
        <m/>
        <s v="Zona Sul"/>
        <s v="Loja"/>
        <s v="Centro"/>
      </sharedItems>
    </cacheField>
    <cacheField name="Valor Entrega" numFmtId="44">
      <sharedItems containsSemiMixedTypes="0" containsString="0" containsNumber="1" minValue="0" maxValue="6.5"/>
    </cacheField>
    <cacheField name="Total" numFmtId="44">
      <sharedItems containsSemiMixedTypes="0" containsString="0" containsNumber="1" minValue="0" maxValue="43.361999999999995"/>
    </cacheField>
    <cacheField name="Total Cliente" numFmtId="44">
      <sharedItems containsMixedTypes="1" containsNumber="1" minValue="1.9501999999999999" maxValue="77.781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n v="5"/>
    <x v="0"/>
    <x v="0"/>
    <s v="Unidade"/>
    <n v="2"/>
    <n v="54.9"/>
    <n v="109.8"/>
    <n v="0.13"/>
    <x v="0"/>
    <x v="0"/>
    <n v="95.525999999999996"/>
    <m/>
  </r>
  <r>
    <n v="5"/>
    <x v="0"/>
    <x v="1"/>
    <s v="Unidade"/>
    <n v="2"/>
    <n v="3.99"/>
    <n v="7.98"/>
    <n v="0"/>
    <x v="0"/>
    <x v="0"/>
    <n v="7.98"/>
    <m/>
  </r>
  <r>
    <n v="5"/>
    <x v="0"/>
    <x v="2"/>
    <s v="Unidade"/>
    <n v="12"/>
    <n v="2.19"/>
    <n v="26.28"/>
    <n v="0.05"/>
    <x v="1"/>
    <x v="1"/>
    <n v="32.966000000000001"/>
    <n v="136.47200000000001"/>
  </r>
  <r>
    <n v="4"/>
    <x v="0"/>
    <x v="3"/>
    <s v="Unidade"/>
    <n v="3"/>
    <n v="2.99"/>
    <n v="8.9700000000000006"/>
    <n v="0"/>
    <x v="2"/>
    <x v="2"/>
    <n v="13.97"/>
    <n v="13.97"/>
  </r>
  <r>
    <n v="3"/>
    <x v="1"/>
    <x v="4"/>
    <s v="Unidade"/>
    <n v="2"/>
    <n v="1.1499999999999999"/>
    <n v="2.2999999999999998"/>
    <n v="0"/>
    <x v="3"/>
    <x v="0"/>
    <n v="2.2999999999999998"/>
    <s v=""/>
  </r>
  <r>
    <n v="3"/>
    <x v="1"/>
    <x v="5"/>
    <s v="Pacote"/>
    <n v="1"/>
    <n v="1.1499999999999999"/>
    <n v="1.1499999999999999"/>
    <n v="0"/>
    <x v="3"/>
    <x v="0"/>
    <n v="1.1499999999999999"/>
    <n v="3.4499999999999997"/>
  </r>
  <r>
    <m/>
    <x v="2"/>
    <x v="6"/>
    <s v=""/>
    <m/>
    <n v="0"/>
    <n v="0"/>
    <m/>
    <x v="0"/>
    <x v="0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">
  <r>
    <n v="1"/>
    <x v="0"/>
    <s v="Couve"/>
    <s v="Unidade"/>
    <n v="1"/>
    <n v="2.6"/>
    <n v="2.6"/>
    <n v="0"/>
    <m/>
    <n v="0"/>
    <n v="2.6"/>
    <s v=""/>
  </r>
  <r>
    <n v="1"/>
    <x v="0"/>
    <s v="Peixe"/>
    <s v="Kg"/>
    <n v="2"/>
    <n v="23.9"/>
    <n v="47.8"/>
    <n v="0.05"/>
    <s v="Loja"/>
    <n v="0"/>
    <n v="45.41"/>
    <n v="48.01"/>
  </r>
  <r>
    <n v="2"/>
    <x v="0"/>
    <s v="Caixa de Fósforo"/>
    <s v="Unidade"/>
    <n v="1"/>
    <n v="0.79"/>
    <n v="0.79"/>
    <n v="0"/>
    <m/>
    <n v="0"/>
    <n v="0.79"/>
    <s v=""/>
  </r>
  <r>
    <n v="2"/>
    <x v="0"/>
    <s v="Pão de Forma"/>
    <s v="Unidade"/>
    <n v="2"/>
    <n v="3.99"/>
    <n v="7.98"/>
    <n v="0.01"/>
    <m/>
    <n v="0"/>
    <n v="7.9002000000000008"/>
    <s v=""/>
  </r>
  <r>
    <n v="2"/>
    <x v="0"/>
    <s v="Feijão"/>
    <s v="Kg"/>
    <n v="1"/>
    <n v="4.28"/>
    <n v="4.28"/>
    <n v="0.1"/>
    <m/>
    <n v="0"/>
    <n v="3.8520000000000003"/>
    <s v=""/>
  </r>
  <r>
    <n v="2"/>
    <x v="0"/>
    <s v="Tomate"/>
    <s v="Kg"/>
    <n v="2"/>
    <n v="5.82"/>
    <n v="11.64"/>
    <n v="0.02"/>
    <m/>
    <n v="0"/>
    <n v="11.4072"/>
    <s v=""/>
  </r>
  <r>
    <n v="2"/>
    <x v="0"/>
    <s v="Suco"/>
    <s v="Litro"/>
    <n v="10"/>
    <n v="3.45"/>
    <n v="34.5"/>
    <n v="0.02"/>
    <s v="Zona Norte"/>
    <n v="6.5"/>
    <n v="40.31"/>
    <n v="64.259399999999999"/>
  </r>
  <r>
    <n v="5"/>
    <x v="0"/>
    <s v="Amendoim"/>
    <s v="Pacote"/>
    <n v="3"/>
    <n v="1.1499999999999999"/>
    <n v="3.4499999999999997"/>
    <n v="0"/>
    <m/>
    <n v="0"/>
    <n v="3.4499999999999997"/>
    <s v=""/>
  </r>
  <r>
    <n v="5"/>
    <x v="0"/>
    <s v="Cigarro"/>
    <s v="Unidade"/>
    <n v="2"/>
    <n v="6.75"/>
    <n v="13.5"/>
    <n v="0"/>
    <s v="Loja"/>
    <n v="0"/>
    <n v="13.5"/>
    <n v="16.95"/>
  </r>
  <r>
    <n v="8"/>
    <x v="0"/>
    <s v="Vodka"/>
    <s v="Unidade"/>
    <n v="5"/>
    <n v="54.9"/>
    <n v="274.5"/>
    <n v="0.04"/>
    <m/>
    <n v="0"/>
    <n v="263.52"/>
    <s v=""/>
  </r>
  <r>
    <n v="8"/>
    <x v="0"/>
    <s v="Vinho"/>
    <s v="Unidade"/>
    <n v="10"/>
    <n v="29.9"/>
    <n v="299"/>
    <n v="0.1"/>
    <m/>
    <n v="0"/>
    <n v="269.10000000000002"/>
    <s v=""/>
  </r>
  <r>
    <n v="8"/>
    <x v="0"/>
    <s v="Cerveja"/>
    <s v="Unidade"/>
    <n v="70"/>
    <n v="2.19"/>
    <n v="153.29999999999998"/>
    <n v="0.06"/>
    <m/>
    <n v="0"/>
    <n v="144.10199999999998"/>
    <s v=""/>
  </r>
  <r>
    <n v="8"/>
    <x v="0"/>
    <s v="Carne"/>
    <s v="Kg"/>
    <n v="20"/>
    <n v="15.9"/>
    <n v="318"/>
    <n v="0.15"/>
    <m/>
    <n v="0"/>
    <n v="270.3"/>
    <s v=""/>
  </r>
  <r>
    <n v="8"/>
    <x v="0"/>
    <s v="Queijo"/>
    <s v="Kg"/>
    <n v="1"/>
    <n v="25.9"/>
    <n v="25.9"/>
    <n v="0"/>
    <s v="Zona Oeste"/>
    <n v="8"/>
    <n v="33.9"/>
    <n v="980.92199999999991"/>
  </r>
  <r>
    <n v="11"/>
    <x v="0"/>
    <s v="Chocolate"/>
    <s v="Unidade"/>
    <n v="2"/>
    <n v="4.99"/>
    <n v="9.98"/>
    <n v="0"/>
    <m/>
    <n v="0"/>
    <n v="9.98"/>
    <s v=""/>
  </r>
  <r>
    <n v="11"/>
    <x v="0"/>
    <s v="Suco"/>
    <s v="Litro"/>
    <n v="1"/>
    <n v="3.45"/>
    <n v="3.45"/>
    <n v="0.05"/>
    <s v="Loja"/>
    <n v="0"/>
    <n v="3.2774999999999999"/>
    <n v="13.2575"/>
  </r>
  <r>
    <n v="6"/>
    <x v="0"/>
    <s v="Pão de Forma"/>
    <s v="Unidade"/>
    <n v="1"/>
    <n v="3.99"/>
    <n v="3.99"/>
    <n v="0.01"/>
    <s v="Loja"/>
    <n v="0"/>
    <n v="3.9501000000000004"/>
    <n v="3.95010000000000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">
  <r>
    <n v="5"/>
    <x v="0"/>
    <s v="Vodka"/>
    <s v="Unidade"/>
    <n v="1"/>
    <n v="54.9"/>
    <n v="54.9"/>
    <n v="0.1"/>
    <s v="Loja"/>
    <n v="0"/>
    <n v="49.41"/>
    <n v="49.41"/>
  </r>
  <r>
    <n v="9"/>
    <x v="0"/>
    <s v="Carne"/>
    <s v="Kg"/>
    <n v="25"/>
    <n v="15.9"/>
    <n v="397.5"/>
    <n v="0.25"/>
    <s v="Zona Norte"/>
    <n v="6.5"/>
    <n v="304.625"/>
    <n v="304.625"/>
  </r>
  <r>
    <n v="16"/>
    <x v="0"/>
    <s v="Amendoim"/>
    <s v="Pacote"/>
    <n v="5"/>
    <n v="1.1499999999999999"/>
    <n v="5.75"/>
    <n v="0"/>
    <s v="Loja"/>
    <n v="0"/>
    <n v="5.75"/>
    <n v="5.75"/>
  </r>
  <r>
    <n v="37"/>
    <x v="0"/>
    <s v="Cenoura"/>
    <s v="Kg"/>
    <n v="2"/>
    <n v="3.99"/>
    <n v="7.98"/>
    <n v="0"/>
    <m/>
    <n v="0"/>
    <n v="7.98"/>
    <s v=""/>
  </r>
  <r>
    <n v="37"/>
    <x v="0"/>
    <s v="Alface"/>
    <s v="Unidade"/>
    <n v="5"/>
    <n v="2.99"/>
    <n v="14.950000000000001"/>
    <n v="0"/>
    <m/>
    <n v="0"/>
    <n v="14.950000000000001"/>
    <s v=""/>
  </r>
  <r>
    <n v="37"/>
    <x v="0"/>
    <s v="Peixe"/>
    <s v="Kg"/>
    <n v="2"/>
    <n v="23.9"/>
    <n v="47.8"/>
    <n v="0.05"/>
    <m/>
    <n v="0"/>
    <n v="45.41"/>
    <s v=""/>
  </r>
  <r>
    <n v="37"/>
    <x v="0"/>
    <s v="Chocolate"/>
    <s v="Unidade"/>
    <n v="5"/>
    <n v="4.99"/>
    <n v="24.950000000000003"/>
    <n v="0"/>
    <s v="Zona Sul"/>
    <n v="6.5"/>
    <n v="31.450000000000003"/>
    <n v="99.79"/>
  </r>
  <r>
    <m/>
    <x v="1"/>
    <m/>
    <s v=""/>
    <m/>
    <n v="0"/>
    <n v="0"/>
    <m/>
    <m/>
    <n v="0"/>
    <n v="0"/>
    <s v=""/>
  </r>
  <r>
    <m/>
    <x v="1"/>
    <m/>
    <s v=""/>
    <m/>
    <n v="0"/>
    <n v="0"/>
    <m/>
    <m/>
    <n v="0"/>
    <n v="0"/>
    <s v=""/>
  </r>
  <r>
    <m/>
    <x v="1"/>
    <m/>
    <s v=""/>
    <m/>
    <n v="0"/>
    <n v="0"/>
    <m/>
    <m/>
    <n v="0"/>
    <n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">
  <r>
    <n v="4"/>
    <x v="0"/>
    <s v="Cerveja"/>
    <s v="Unidade"/>
    <n v="20"/>
    <n v="2.19"/>
    <n v="43.8"/>
    <n v="0.01"/>
    <x v="0"/>
    <n v="0"/>
    <n v="43.361999999999995"/>
    <s v=""/>
  </r>
  <r>
    <n v="4"/>
    <x v="1"/>
    <s v="Frango"/>
    <s v="Kg"/>
    <n v="4"/>
    <n v="6.98"/>
    <n v="27.92"/>
    <n v="0"/>
    <x v="1"/>
    <n v="6.5"/>
    <n v="34.42"/>
    <n v="77.781999999999996"/>
  </r>
  <r>
    <n v="6"/>
    <x v="2"/>
    <s v="Alface"/>
    <s v="Unidade"/>
    <n v="2"/>
    <n v="2.99"/>
    <n v="5.98"/>
    <n v="0"/>
    <x v="0"/>
    <n v="0"/>
    <n v="5.98"/>
    <s v=""/>
  </r>
  <r>
    <n v="6"/>
    <x v="2"/>
    <s v="Cenoura"/>
    <s v="Kg"/>
    <n v="1"/>
    <n v="3.99"/>
    <n v="3.99"/>
    <n v="0.04"/>
    <x v="2"/>
    <n v="0"/>
    <n v="3.8304"/>
    <n v="9.8104000000000013"/>
  </r>
  <r>
    <n v="1"/>
    <x v="2"/>
    <s v="Bala"/>
    <s v="Pacote"/>
    <n v="1"/>
    <n v="1.99"/>
    <n v="1.99"/>
    <n v="0.02"/>
    <x v="2"/>
    <n v="0"/>
    <n v="1.9501999999999999"/>
    <n v="1.9501999999999999"/>
  </r>
  <r>
    <n v="5"/>
    <x v="2"/>
    <s v="Barra de Cereal"/>
    <s v="Unidade"/>
    <n v="5"/>
    <n v="1.1499999999999999"/>
    <n v="5.75"/>
    <n v="0"/>
    <x v="2"/>
    <n v="0"/>
    <n v="5.75"/>
    <n v="5.75"/>
  </r>
  <r>
    <n v="10"/>
    <x v="2"/>
    <s v="Queijo"/>
    <s v="Kg"/>
    <n v="0.5"/>
    <n v="25.9"/>
    <n v="12.95"/>
    <n v="0.05"/>
    <x v="3"/>
    <n v="5"/>
    <n v="17.302499999999998"/>
    <n v="17.302499999999998"/>
  </r>
  <r>
    <m/>
    <x v="3"/>
    <m/>
    <s v=""/>
    <m/>
    <n v="0"/>
    <n v="0"/>
    <m/>
    <x v="0"/>
    <n v="0"/>
    <n v="0"/>
    <s v=""/>
  </r>
  <r>
    <m/>
    <x v="3"/>
    <m/>
    <s v=""/>
    <m/>
    <n v="0"/>
    <n v="0"/>
    <m/>
    <x v="0"/>
    <n v="0"/>
    <n v="0"/>
    <s v=""/>
  </r>
  <r>
    <m/>
    <x v="3"/>
    <m/>
    <s v=""/>
    <m/>
    <n v="0"/>
    <n v="0"/>
    <m/>
    <x v="0"/>
    <n v="0"/>
    <n v="0"/>
    <s v=""/>
  </r>
  <r>
    <m/>
    <x v="3"/>
    <m/>
    <s v=""/>
    <m/>
    <n v="0"/>
    <n v="0"/>
    <m/>
    <x v="0"/>
    <n v="0"/>
    <n v="0"/>
    <s v=""/>
  </r>
  <r>
    <m/>
    <x v="3"/>
    <m/>
    <s v=""/>
    <m/>
    <n v="0"/>
    <n v="0"/>
    <m/>
    <x v="0"/>
    <n v="0"/>
    <n v="0"/>
    <s v=""/>
  </r>
  <r>
    <m/>
    <x v="3"/>
    <m/>
    <s v=""/>
    <m/>
    <n v="0"/>
    <n v="0"/>
    <m/>
    <x v="0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ela dinâmica2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 rowHeaderCaption="Unidade">
  <location ref="C13:F17" firstHeaderRow="0" firstDataRow="1" firstDataCol="1"/>
  <pivotFields count="12">
    <pivotField showAll="0"/>
    <pivotField showAll="0"/>
    <pivotField showAll="0">
      <items count="8">
        <item x="3"/>
        <item x="5"/>
        <item x="4"/>
        <item x="2"/>
        <item x="1"/>
        <item x="0"/>
        <item x="6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5">
        <item x="2"/>
        <item x="3"/>
        <item x="1"/>
        <item h="1" x="0"/>
        <item t="default"/>
      </items>
    </pivotField>
    <pivotField dataField="1" numFmtId="44" showAll="0">
      <items count="4">
        <item h="1" x="0"/>
        <item x="2"/>
        <item x="1"/>
        <item t="default"/>
      </items>
    </pivotField>
    <pivotField dataField="1" numFmtId="44" showAll="0"/>
    <pivotField showAll="0"/>
  </pivotFields>
  <rowFields count="1">
    <field x="8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Qtd de Produtos" fld="4" subtotal="count" baseField="0" baseItem="0"/>
    <dataField name="Valor Entregas" fld="9" baseField="8" baseItem="0" numFmtId="44"/>
    <dataField name="Total Produtos" fld="10" baseField="8" baseItem="0" numFmtId="44"/>
  </dataFields>
  <formats count="12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8" type="button" dataOnly="0" labelOnly="1" outline="0" axis="axisRow" fieldPosition="0"/>
    </format>
    <format dxfId="96">
      <pivotArea dataOnly="0" labelOnly="1" fieldPosition="0">
        <references count="1">
          <reference field="8" count="0"/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8" type="button" dataOnly="0" labelOnly="1" outline="0" axis="axisRow" fieldPosition="0"/>
    </format>
    <format dxfId="84">
      <pivotArea dataOnly="0" labelOnly="1" fieldPosition="0">
        <references count="1">
          <reference field="8" count="0"/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Data">
  <location ref="C5:E8" firstHeaderRow="0" firstDataRow="1" firstDataCol="1"/>
  <pivotFields count="12">
    <pivotField showAll="0"/>
    <pivotField axis="axisRow" showAll="0">
      <items count="4">
        <item x="1"/>
        <item x="0"/>
        <item h="1" x="2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Qtd Produtos Vendidos" fld="4" subtotal="count" baseField="0" baseItem="0"/>
    <dataField name="Total Vendido" fld="10" baseField="1" baseItem="0" numFmtId="44"/>
  </dataFields>
  <formats count="12"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" type="button" dataOnly="0" labelOnly="1" outline="0" axis="axisRow" fieldPosition="0"/>
    </format>
    <format dxfId="90">
      <pivotArea dataOnly="0" labelOnly="1" fieldPosition="0">
        <references count="1">
          <reference field="1" count="0"/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1" type="button" dataOnly="0" labelOnly="1" outline="0" axis="axisRow" fieldPosition="0"/>
    </format>
    <format dxfId="78">
      <pivotArea dataOnly="0" labelOnly="1" fieldPosition="0">
        <references count="1">
          <reference field="1" count="0"/>
        </references>
      </pivotArea>
    </format>
    <format dxfId="77">
      <pivotArea dataOnly="0" labelOnly="1" grandRow="1" outline="0" fieldPosition="0"/>
    </format>
    <format dxfId="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6" cacheId="2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Data">
  <location ref="C5:E9" firstHeaderRow="0" firstDataRow="1" firstDataCol="1"/>
  <pivotFields count="12">
    <pivotField showAll="0"/>
    <pivotField axis="axisRow" showAll="0">
      <items count="5">
        <item x="2"/>
        <item h="1" x="3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4">
    <i>
      <x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Qtd Produtos Vendidos" fld="4" subtotal="count" baseField="0" baseItem="0"/>
    <dataField name="Total Vendido" fld="10" baseField="1" baseItem="0" numFmtId="44"/>
  </dataFields>
  <formats count="12">
    <format dxfId="52">
      <pivotArea type="all" dataOnly="0" outline="0" fieldPosition="0"/>
    </format>
    <format dxfId="53">
      <pivotArea outline="0" collapsedLevelsAreSubtotals="1" fieldPosition="0"/>
    </format>
    <format dxfId="54">
      <pivotArea field="1" type="button" dataOnly="0" labelOnly="1" outline="0" axis="axisRow" fieldPosition="0"/>
    </format>
    <format dxfId="55">
      <pivotArea dataOnly="0" labelOnly="1" fieldPosition="0">
        <references count="1">
          <reference field="1" count="0"/>
        </references>
      </pivotArea>
    </format>
    <format dxfId="56">
      <pivotArea dataOnly="0" labelOnly="1" grandRow="1" outline="0" fieldPosition="0"/>
    </format>
    <format dxfId="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8">
      <pivotArea type="all" dataOnly="0" outline="0" fieldPosition="0"/>
    </format>
    <format dxfId="59">
      <pivotArea outline="0" collapsedLevelsAreSubtotals="1" fieldPosition="0"/>
    </format>
    <format dxfId="60">
      <pivotArea field="1" type="button" dataOnly="0" labelOnly="1" outline="0" axis="axisRow" fieldPosition="0"/>
    </format>
    <format dxfId="61">
      <pivotArea dataOnly="0" labelOnly="1" fieldPosition="0">
        <references count="1">
          <reference field="1" count="0"/>
        </references>
      </pivotArea>
    </format>
    <format dxfId="62">
      <pivotArea dataOnly="0" labelOnly="1" grandRow="1" outline="0" fieldPosition="0"/>
    </format>
    <format dxfId="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5" cacheId="2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 rowHeaderCaption="Unidade">
  <location ref="C13:F17" firstHeaderRow="0" firstDataRow="1" firstDataCol="1"/>
  <pivotFields count="12">
    <pivotField showAll="0"/>
    <pivotField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5">
        <item x="3"/>
        <item x="2"/>
        <item h="1" x="0"/>
        <item x="1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4">
    <i>
      <x/>
    </i>
    <i>
      <x v="1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Qtd de Produtos" fld="4" subtotal="count" baseField="0" baseItem="0"/>
    <dataField name="Valor Entregas" fld="9" baseField="8" baseItem="0" numFmtId="44"/>
    <dataField name="Total Produtos" fld="10" baseField="8" baseItem="0" numFmtId="44"/>
  </dataFields>
  <formats count="12">
    <format dxfId="64">
      <pivotArea type="all" dataOnly="0" outline="0" fieldPosition="0"/>
    </format>
    <format dxfId="65">
      <pivotArea outline="0" collapsedLevelsAreSubtotals="1" fieldPosition="0"/>
    </format>
    <format dxfId="66">
      <pivotArea field="8" type="button" dataOnly="0" labelOnly="1" outline="0" axis="axisRow" fieldPosition="0"/>
    </format>
    <format dxfId="67">
      <pivotArea dataOnly="0" labelOnly="1" fieldPosition="0">
        <references count="1">
          <reference field="8" count="0"/>
        </references>
      </pivotArea>
    </format>
    <format dxfId="68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type="all" dataOnly="0" outline="0" fieldPosition="0"/>
    </format>
    <format dxfId="71">
      <pivotArea outline="0" collapsedLevelsAreSubtotals="1" fieldPosition="0"/>
    </format>
    <format dxfId="72">
      <pivotArea field="8" type="button" dataOnly="0" labelOnly="1" outline="0" axis="axisRow" fieldPosition="0"/>
    </format>
    <format dxfId="73">
      <pivotArea dataOnly="0" labelOnly="1" fieldPosition="0">
        <references count="1">
          <reference field="8" count="0"/>
        </references>
      </pivotArea>
    </format>
    <format dxfId="74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8" cacheId="2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 rowHeaderCaption="Unidade">
  <location ref="C13:F17" firstHeaderRow="0" firstDataRow="1" firstDataCol="1"/>
  <pivotFields count="12">
    <pivotField showAll="0"/>
    <pivotField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5">
        <item x="3"/>
        <item x="2"/>
        <item h="1" x="0"/>
        <item x="1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4">
    <i>
      <x/>
    </i>
    <i>
      <x v="1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Qtd de Produtos" fld="4" subtotal="count" baseField="0" baseItem="0"/>
    <dataField name="Valor Entregas" fld="9" baseField="8" baseItem="0" numFmtId="44"/>
    <dataField name="Total Produtos" fld="10" baseField="8" baseItem="0" numFmtId="44"/>
  </dataFields>
  <formats count="12">
    <format dxfId="28">
      <pivotArea type="all" dataOnly="0" outline="0" fieldPosition="0"/>
    </format>
    <format dxfId="29">
      <pivotArea outline="0" collapsedLevelsAreSubtotals="1" fieldPosition="0"/>
    </format>
    <format dxfId="30">
      <pivotArea field="8" type="button" dataOnly="0" labelOnly="1" outline="0" axis="axisRow" fieldPosition="0"/>
    </format>
    <format dxfId="31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type="all" dataOnly="0" outline="0" fieldPosition="0"/>
    </format>
    <format dxfId="35">
      <pivotArea outline="0" collapsedLevelsAreSubtotals="1" fieldPosition="0"/>
    </format>
    <format dxfId="36">
      <pivotArea field="8" type="button" dataOnly="0" labelOnly="1" outline="0" axis="axisRow" fieldPosition="0"/>
    </format>
    <format dxfId="37">
      <pivotArea dataOnly="0" labelOnly="1" fieldPosition="0">
        <references count="1">
          <reference field="8" count="0"/>
        </references>
      </pivotArea>
    </format>
    <format dxfId="38">
      <pivotArea dataOnly="0" labelOnly="1" grandRow="1" outline="0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7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Data">
  <location ref="C5:E7" firstHeaderRow="0" firstDataRow="1" firstDataCol="1"/>
  <pivotFields count="12"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Qtd Produtos Vendidos" fld="4" subtotal="count" baseField="0" baseItem="0"/>
    <dataField name="Total Vendido" fld="10" baseField="1" baseItem="0" numFmtId="44"/>
  </dataFields>
  <formats count="12">
    <format dxfId="40">
      <pivotArea type="all" dataOnly="0" outline="0" fieldPosition="0"/>
    </format>
    <format dxfId="41">
      <pivotArea outline="0" collapsedLevelsAreSubtotals="1" fieldPosition="0"/>
    </format>
    <format dxfId="42">
      <pivotArea field="1" type="button" dataOnly="0" labelOnly="1" outline="0" axis="axisRow" fieldPosition="0"/>
    </format>
    <format dxfId="43">
      <pivotArea dataOnly="0" labelOnly="1" fieldPosition="0">
        <references count="1">
          <reference field="1" count="0"/>
        </references>
      </pivotArea>
    </format>
    <format dxfId="44">
      <pivotArea dataOnly="0" labelOnly="1" grandRow="1" outline="0" fieldPosition="0"/>
    </format>
    <format dxfId="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6">
      <pivotArea type="all" dataOnly="0" outline="0" fieldPosition="0"/>
    </format>
    <format dxfId="47">
      <pivotArea outline="0" collapsedLevelsAreSubtotals="1" fieldPosition="0"/>
    </format>
    <format dxfId="48">
      <pivotArea field="1" type="button" dataOnly="0" labelOnly="1" outline="0" axis="axisRow" fieldPosition="0"/>
    </format>
    <format dxfId="49">
      <pivotArea dataOnly="0" labelOnly="1" fieldPosition="0">
        <references count="1">
          <reference field="1" count="0"/>
        </references>
      </pivotArea>
    </format>
    <format dxfId="50">
      <pivotArea dataOnly="0" labelOnly="1" grandRow="1" outline="0" fieldPosition="0"/>
    </format>
    <format dxfId="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0" cacheId="2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Data">
  <location ref="C5:E7" firstHeaderRow="0" firstDataRow="1" firstDataCol="1"/>
  <pivotFields count="12"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1">
    <field x="1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Qtd Produtos Vendidos" fld="4" subtotal="count" baseField="0" baseItem="0"/>
    <dataField name="Total Vendido" fld="10" baseField="1" baseItem="0" numFmtId="44"/>
  </dataFields>
  <formats count="12">
    <format dxfId="4">
      <pivotArea type="all" dataOnly="0" outline="0" fieldPosition="0"/>
    </format>
    <format dxfId="5">
      <pivotArea outline="0" collapsedLevelsAreSubtotals="1" fieldPosition="0"/>
    </format>
    <format dxfId="6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0"/>
        </references>
      </pivotArea>
    </format>
    <format dxfId="8">
      <pivotArea dataOnly="0" labelOnly="1" grandRow="1" outline="0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type="all" dataOnly="0" outline="0" fieldPosition="0"/>
    </format>
    <format dxfId="11">
      <pivotArea outline="0" collapsedLevelsAreSubtotals="1" fieldPosition="0"/>
    </format>
    <format dxfId="12">
      <pivotArea field="1" type="button" dataOnly="0" labelOnly="1" outline="0" axis="axisRow" fieldPosition="0"/>
    </format>
    <format dxfId="13">
      <pivotArea dataOnly="0" labelOnly="1" fieldPosition="0">
        <references count="1">
          <reference field="1" count="0"/>
        </references>
      </pivotArea>
    </format>
    <format dxfId="14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ela dinâmica9" cacheId="2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 rowHeaderCaption="Unidade">
  <location ref="C13:F17" firstHeaderRow="0" firstDataRow="1" firstDataCol="1"/>
  <pivotFields count="12">
    <pivotField showAll="0"/>
    <pivotField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5">
        <item x="3"/>
        <item x="2"/>
        <item h="1" x="0"/>
        <item x="1"/>
        <item t="default"/>
      </items>
    </pivotField>
    <pivotField dataField="1" numFmtId="44" showAll="0"/>
    <pivotField dataField="1" numFmtId="44" showAll="0"/>
    <pivotField showAll="0"/>
  </pivotFields>
  <rowFields count="1">
    <field x="8"/>
  </rowFields>
  <rowItems count="4">
    <i>
      <x/>
    </i>
    <i>
      <x v="1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Qtd de Produtos" fld="4" subtotal="count" baseField="0" baseItem="0"/>
    <dataField name="Valor Entregas" fld="9" baseField="8" baseItem="0" numFmtId="44"/>
    <dataField name="Total Produtos" fld="10" baseField="8" baseItem="0" numFmtId="44"/>
  </dataFields>
  <formats count="12">
    <format dxfId="16">
      <pivotArea type="all" dataOnly="0" outline="0" fieldPosition="0"/>
    </format>
    <format dxfId="17">
      <pivotArea outline="0" collapsedLevelsAreSubtotals="1" fieldPosition="0"/>
    </format>
    <format dxfId="18">
      <pivotArea field="8" type="button" dataOnly="0" labelOnly="1" outline="0" axis="axisRow" fieldPosition="0"/>
    </format>
    <format dxfId="19">
      <pivotArea dataOnly="0" labelOnly="1" fieldPosition="0">
        <references count="1">
          <reference field="8" count="0"/>
        </references>
      </pivotArea>
    </format>
    <format dxfId="20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type="all" dataOnly="0" outline="0" fieldPosition="0"/>
    </format>
    <format dxfId="23">
      <pivotArea outline="0" collapsedLevelsAreSubtotals="1" fieldPosition="0"/>
    </format>
    <format dxfId="24">
      <pivotArea field="8" type="button" dataOnly="0" labelOnly="1" outline="0" axis="axisRow" fieldPosition="0"/>
    </format>
    <format dxfId="25">
      <pivotArea dataOnly="0" labelOnly="1" fieldPosition="0">
        <references count="1">
          <reference field="8" count="0"/>
        </references>
      </pivotArea>
    </format>
    <format dxfId="26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ela2" displayName="Tabela2" ref="B4:G29" totalsRowShown="0">
  <autoFilter ref="B4:G29"/>
  <tableColumns count="6">
    <tableColumn id="1" name="Despesas de funcionamento"/>
    <tableColumn id="2" name="Itens despesas"/>
    <tableColumn id="3" name="Data"/>
    <tableColumn id="4" name="Observação"/>
    <tableColumn id="5" name="Valor Intermediario" dataCellStyle="Moeda"/>
    <tableColumn id="6" name="Valor Final" dataCellStyle="Moeda"/>
  </tableColumns>
  <tableStyleInfo name="TableStyleLight11" showFirstColumn="1" showLastColumn="1" showRowStripes="1" showColumnStripes="0"/>
</table>
</file>

<file path=xl/tables/table2.xml><?xml version="1.0" encoding="utf-8"?>
<table xmlns="http://schemas.openxmlformats.org/spreadsheetml/2006/main" id="3" name="Tabela3" displayName="Tabela3" ref="B6:I27" totalsRowShown="0">
  <autoFilter ref="B6:I27"/>
  <tableColumns count="8">
    <tableColumn id="1" name="Data" dataDxfId="139"/>
    <tableColumn id="2" name="Fornecedor"/>
    <tableColumn id="3" name="Mercadoria" dataDxfId="138"/>
    <tableColumn id="4" name="Medida" dataDxfId="137">
      <calculatedColumnFormula>VLOOKUP(Tabela3[[#This Row],[Mercadoria]],Cálculos!$H$2:$K$22,4,0)</calculatedColumnFormula>
    </tableColumn>
    <tableColumn id="5" name="Quantidade" dataDxfId="136"/>
    <tableColumn id="6" name="Preço Unitário " dataDxfId="135" dataCellStyle="Moeda">
      <calculatedColumnFormula>VLOOKUP(Tabela3[[#This Row],[Mercadoria]],Cálculos!H2:K22,2,0)</calculatedColumnFormula>
    </tableColumn>
    <tableColumn id="7" name="Desconto" dataDxfId="134" dataCellStyle="Porcentagem"/>
    <tableColumn id="8" name="Valor pago" dataDxfId="133" dataCellStyle="Moeda">
      <calculatedColumnFormula>Tabela3[[#This Row],[Quantidade]]*Tabela3[[#This Row],[Preço Unitário ]]*(1-Tabela3[[#This Row],[Desconto]])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Tabela4" displayName="Tabela4" ref="B4:F20" totalsRowShown="0">
  <autoFilter ref="B4:F20"/>
  <tableColumns count="5">
    <tableColumn id="1" name="Investimento"/>
    <tableColumn id="2" name="Item"/>
    <tableColumn id="3" name="Data" dataDxfId="132"/>
    <tableColumn id="4" name="Descrição"/>
    <tableColumn id="5" name="Valor" dataCellStyle="Moeda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B4:H25" totalsRowShown="0" headerRowDxfId="131">
  <autoFilter ref="B4:H25"/>
  <tableColumns count="7">
    <tableColumn id="1" name="Produto" dataDxfId="130"/>
    <tableColumn id="2" name="Última compra" dataDxfId="129">
      <calculatedColumnFormula>IFERROR(INDEX(Tabela3[],MATCH(B5,Tabela3[Mercadoria],0),1),"")</calculatedColumnFormula>
    </tableColumn>
    <tableColumn id="3" name="Qtd inicial" dataDxfId="128"/>
    <tableColumn id="4" name="Qtd Comprada" dataDxfId="127">
      <calculatedColumnFormula>SUMIF(Tabela3[Mercadoria],Tabela1[[#This Row],[Produto]],Tabela3[Quantidade])</calculatedColumnFormula>
    </tableColumn>
    <tableColumn id="5" name="Qtd Vendida" dataDxfId="100">
      <calculatedColumnFormula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calculatedColumnFormula>
    </tableColumn>
    <tableColumn id="7" name="Qtd Atual" dataDxfId="126">
      <calculatedColumnFormula>Tabela1[[#This Row],[Qtd inicial]]+Tabela1[[#This Row],[Qtd Comprada]]-Tabela1[[#This Row],[Qtd Vendida]]</calculatedColumnFormula>
    </tableColumn>
    <tableColumn id="6" name="Situação" dataDxfId="125">
      <calculatedColumnFormula>IF(Tabela1[[#This Row],[Qtd Atual]]&lt;50,IF(Tabela1[[#This Row],[Qtd Atual]]&lt;21,"Comprar","Atenção"),"OK")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C4:N11" totalsRowShown="0">
  <autoFilter ref="C4:N11"/>
  <tableColumns count="12">
    <tableColumn id="1" name="ID Cliente"/>
    <tableColumn id="2" name="Data"/>
    <tableColumn id="3" name="Produto"/>
    <tableColumn id="4" name="Medida" dataDxfId="124">
      <calculatedColumnFormula>IFERROR(VLOOKUP(Tabela5[[#This Row],[Produto]],Cálculos!$H$1:K22,4,0),"")</calculatedColumnFormula>
    </tableColumn>
    <tableColumn id="5" name="Quantidade"/>
    <tableColumn id="6" name="Valor Unitário" dataDxfId="123" dataCellStyle="Moeda">
      <calculatedColumnFormula>IFERROR(VLOOKUP(Tabela5[[#This Row],[Produto]],Cálculos!$H$1:K22,3,0),0)</calculatedColumnFormula>
    </tableColumn>
    <tableColumn id="7" name="Subtotal" dataDxfId="122" dataCellStyle="Moeda">
      <calculatedColumnFormula>Tabela5[[#This Row],[Quantidade]]*Tabela5[[#This Row],[Valor Unitário]]</calculatedColumnFormula>
    </tableColumn>
    <tableColumn id="8" name="Desconto" dataCellStyle="Porcentagem"/>
    <tableColumn id="9" name="Entrega" dataCellStyle="Moeda"/>
    <tableColumn id="10" name="Valor Entrega" dataDxfId="121" dataCellStyle="Moeda">
      <calculatedColumnFormula>IFERROR(VLOOKUP(Tabela5[[#This Row],[Entrega]],Cálculos!$B$1:$C$6,2,0),0)</calculatedColumnFormula>
    </tableColumn>
    <tableColumn id="11" name="Total" dataDxfId="120" dataCellStyle="Moeda">
      <calculatedColumnFormula>Tabela5[[#This Row],[Subtotal]]*(1-Tabela5[[#This Row],[Desconto]])+Tabela5[[#This Row],[Valor Entrega]]</calculatedColumnFormula>
    </tableColumn>
    <tableColumn id="14" name="Total Cliente" dataDxfId="119" dataCellStyle="Moeda">
      <calculatedColumnFormula>IF(Tabela5[[#This Row],[ID Cliente]]=C4,"",SUMIF(Tabela5[ID Cliente],Tabela5[[#This Row],[ID Cliente]],Tabela5[Total]))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ela57" displayName="Tabela57" ref="B4:M17" totalsRowShown="0">
  <autoFilter ref="B4:M17"/>
  <tableColumns count="12">
    <tableColumn id="1" name="ID Cliente"/>
    <tableColumn id="2" name="Data"/>
    <tableColumn id="3" name="Produto"/>
    <tableColumn id="4" name="Medida" dataDxfId="118">
      <calculatedColumnFormula>IFERROR(VLOOKUP(Tabela57[[#This Row],[Produto]],Cálculos!$H$1:K22,4,0),"")</calculatedColumnFormula>
    </tableColumn>
    <tableColumn id="5" name="Quantidade"/>
    <tableColumn id="6" name="Valor Unitário" dataDxfId="117" dataCellStyle="Moeda">
      <calculatedColumnFormula>IFERROR(VLOOKUP(Tabela57[[#This Row],[Produto]],Cálculos!$H$1:K22,3,0),0)</calculatedColumnFormula>
    </tableColumn>
    <tableColumn id="7" name="Subtotal" dataDxfId="116" dataCellStyle="Moeda">
      <calculatedColumnFormula>Tabela57[[#This Row],[Quantidade]]*Tabela57[[#This Row],[Valor Unitário]]</calculatedColumnFormula>
    </tableColumn>
    <tableColumn id="8" name="Desconto" dataCellStyle="Porcentagem"/>
    <tableColumn id="9" name="Entrega" dataCellStyle="Moeda"/>
    <tableColumn id="10" name="Valor Entrega" dataDxfId="115" dataCellStyle="Moeda">
      <calculatedColumnFormula>IFERROR(VLOOKUP(Tabela57[[#This Row],[Entrega]],Cálculos!$B$1:$C$6,2,0),0)</calculatedColumnFormula>
    </tableColumn>
    <tableColumn id="11" name="Total" dataDxfId="114" dataCellStyle="Moeda">
      <calculatedColumnFormula>Tabela57[[#This Row],[Subtotal]]*(1-Tabela57[[#This Row],[Desconto]])+Tabela57[[#This Row],[Valor Entrega]]</calculatedColumnFormula>
    </tableColumn>
    <tableColumn id="14" name="Total Cliente" dataDxfId="113" dataCellStyle="Moeda">
      <calculatedColumnFormula>IF(Tabela57[[#This Row],[ID Cliente]]=B4,"",SUMIF(Tabela57[ID Cliente],Tabela57[[#This Row],[ID Cliente]],Tabela57[Total]))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7" name="Tabela578" displayName="Tabela578" ref="B4:M21" totalsRowShown="0">
  <autoFilter ref="B4:M21"/>
  <tableColumns count="12">
    <tableColumn id="1" name="ID Cliente"/>
    <tableColumn id="2" name="Data"/>
    <tableColumn id="3" name="Produto"/>
    <tableColumn id="4" name="Medida" dataDxfId="112">
      <calculatedColumnFormula>IFERROR(VLOOKUP(Tabela578[[#This Row],[Produto]],Cálculos!$H$1:K22,4,0),"")</calculatedColumnFormula>
    </tableColumn>
    <tableColumn id="5" name="Quantidade"/>
    <tableColumn id="6" name="Valor Unitário" dataDxfId="111" dataCellStyle="Moeda">
      <calculatedColumnFormula>IFERROR(VLOOKUP(Tabela578[[#This Row],[Produto]],Cálculos!$H$1:K22,3,0),0)</calculatedColumnFormula>
    </tableColumn>
    <tableColumn id="7" name="Subtotal" dataDxfId="110" dataCellStyle="Moeda">
      <calculatedColumnFormula>Tabela578[[#This Row],[Quantidade]]*Tabela578[[#This Row],[Valor Unitário]]</calculatedColumnFormula>
    </tableColumn>
    <tableColumn id="8" name="Desconto" dataCellStyle="Porcentagem"/>
    <tableColumn id="9" name="Entrega" dataCellStyle="Moeda"/>
    <tableColumn id="10" name="Valor Entrega" dataDxfId="109" dataCellStyle="Moeda">
      <calculatedColumnFormula>IFERROR(VLOOKUP(Tabela578[[#This Row],[Entrega]],Cálculos!$B$1:$C$6,2,0),0)</calculatedColumnFormula>
    </tableColumn>
    <tableColumn id="11" name="Total" dataDxfId="108" dataCellStyle="Moeda">
      <calculatedColumnFormula>Tabela578[[#This Row],[Subtotal]]*(1-Tabela578[[#This Row],[Desconto]])+Tabela578[[#This Row],[Valor Entrega]]</calculatedColumnFormula>
    </tableColumn>
    <tableColumn id="14" name="Total Cliente" dataDxfId="107" dataCellStyle="Moeda">
      <calculatedColumnFormula>IF(Tabela578[[#This Row],[ID Cliente]]=B4,"",SUMIF(Tabela578[ID Cliente],Tabela578[[#This Row],[ID Cliente]],Tabela578[Total]))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8" name="Tabela5789" displayName="Tabela5789" ref="B4:M14" totalsRowShown="0">
  <autoFilter ref="B4:M14"/>
  <tableColumns count="12">
    <tableColumn id="1" name="ID Cliente"/>
    <tableColumn id="2" name="Data"/>
    <tableColumn id="3" name="Produto"/>
    <tableColumn id="4" name="Medida" dataDxfId="106">
      <calculatedColumnFormula>IFERROR(VLOOKUP(Tabela5789[[#This Row],[Produto]],Cálculos!$H$1:K22,4,0),"")</calculatedColumnFormula>
    </tableColumn>
    <tableColumn id="5" name="Quantidade"/>
    <tableColumn id="6" name="Valor Unitário" dataDxfId="105" dataCellStyle="Moeda">
      <calculatedColumnFormula>IFERROR(VLOOKUP(Tabela5789[[#This Row],[Produto]],Cálculos!$H$1:K22,3,0),0)</calculatedColumnFormula>
    </tableColumn>
    <tableColumn id="7" name="Subtotal" dataDxfId="104" dataCellStyle="Moeda">
      <calculatedColumnFormula>Tabela5789[[#This Row],[Quantidade]]*Tabela5789[[#This Row],[Valor Unitário]]</calculatedColumnFormula>
    </tableColumn>
    <tableColumn id="8" name="Desconto" dataCellStyle="Porcentagem"/>
    <tableColumn id="9" name="Entrega" dataCellStyle="Moeda"/>
    <tableColumn id="10" name="Valor Entrega" dataDxfId="103" dataCellStyle="Moeda">
      <calculatedColumnFormula>IFERROR(VLOOKUP(Tabela5789[[#This Row],[Entrega]],Cálculos!$B$1:$C$6,2,0),0)</calculatedColumnFormula>
    </tableColumn>
    <tableColumn id="11" name="Total" dataDxfId="102" dataCellStyle="Moeda">
      <calculatedColumnFormula>Tabela5789[[#This Row],[Subtotal]]*(1-Tabela5789[[#This Row],[Desconto]])+Tabela5789[[#This Row],[Valor Entrega]]</calculatedColumnFormula>
    </tableColumn>
    <tableColumn id="14" name="Total Cliente" dataDxfId="101" dataCellStyle="Moeda">
      <calculatedColumnFormula>IF(Tabela5789[[#This Row],[ID Cliente]]=B4,"",SUMIF(Tabela5789[ID Cliente],Tabela5789[[#This Row],[ID Cliente]],Tabela5789[Total]))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2:H33"/>
  <sheetViews>
    <sheetView showGridLines="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7.140625" customWidth="1"/>
    <col min="5" max="5" width="26.140625" bestFit="1" customWidth="1"/>
    <col min="6" max="6" width="20.5703125" style="4" customWidth="1"/>
    <col min="7" max="7" width="18.28515625" style="4" bestFit="1" customWidth="1"/>
  </cols>
  <sheetData>
    <row r="2" spans="2:7" s="3" customFormat="1" ht="30" customHeight="1" x14ac:dyDescent="0.25">
      <c r="B2" s="2" t="s">
        <v>39</v>
      </c>
      <c r="F2" s="5"/>
      <c r="G2" s="5"/>
    </row>
    <row r="4" spans="2:7" x14ac:dyDescent="0.25">
      <c r="B4" t="s">
        <v>40</v>
      </c>
      <c r="C4" t="s">
        <v>41</v>
      </c>
      <c r="D4" t="s">
        <v>42</v>
      </c>
      <c r="E4" t="s">
        <v>43</v>
      </c>
      <c r="F4" s="4" t="s">
        <v>44</v>
      </c>
      <c r="G4" s="4" t="s">
        <v>45</v>
      </c>
    </row>
    <row r="5" spans="2:7" x14ac:dyDescent="0.25">
      <c r="B5" t="s">
        <v>3</v>
      </c>
      <c r="G5" s="4">
        <v>1000</v>
      </c>
    </row>
    <row r="6" spans="2:7" x14ac:dyDescent="0.25">
      <c r="B6" t="s">
        <v>46</v>
      </c>
      <c r="G6" s="4">
        <f>SUM(F7:F11)</f>
        <v>17500</v>
      </c>
    </row>
    <row r="7" spans="2:7" x14ac:dyDescent="0.25">
      <c r="C7" t="s">
        <v>10</v>
      </c>
      <c r="F7" s="4">
        <v>10000</v>
      </c>
    </row>
    <row r="8" spans="2:7" x14ac:dyDescent="0.25">
      <c r="C8" t="s">
        <v>11</v>
      </c>
      <c r="F8" s="4">
        <v>500</v>
      </c>
    </row>
    <row r="9" spans="2:7" x14ac:dyDescent="0.25">
      <c r="C9" t="s">
        <v>1</v>
      </c>
      <c r="F9" s="4">
        <v>3000</v>
      </c>
    </row>
    <row r="10" spans="2:7" x14ac:dyDescent="0.25">
      <c r="C10" t="s">
        <v>12</v>
      </c>
      <c r="F10" s="4">
        <v>2500</v>
      </c>
    </row>
    <row r="11" spans="2:7" x14ac:dyDescent="0.25">
      <c r="C11" t="s">
        <v>5</v>
      </c>
      <c r="E11" t="s">
        <v>51</v>
      </c>
      <c r="F11" s="4">
        <v>1500</v>
      </c>
    </row>
    <row r="12" spans="2:7" x14ac:dyDescent="0.25">
      <c r="B12" t="s">
        <v>0</v>
      </c>
      <c r="G12" s="4">
        <v>900</v>
      </c>
    </row>
    <row r="13" spans="2:7" x14ac:dyDescent="0.25">
      <c r="B13" t="s">
        <v>1</v>
      </c>
      <c r="G13" s="4">
        <v>6000</v>
      </c>
    </row>
    <row r="14" spans="2:7" x14ac:dyDescent="0.25">
      <c r="B14" t="s">
        <v>52</v>
      </c>
      <c r="G14" s="4">
        <f>SUM(F15:F19)</f>
        <v>5300</v>
      </c>
    </row>
    <row r="15" spans="2:7" x14ac:dyDescent="0.25">
      <c r="C15" t="s">
        <v>47</v>
      </c>
      <c r="F15" s="4">
        <v>800</v>
      </c>
    </row>
    <row r="16" spans="2:7" x14ac:dyDescent="0.25">
      <c r="C16" t="s">
        <v>48</v>
      </c>
      <c r="F16" s="4">
        <v>3200</v>
      </c>
    </row>
    <row r="17" spans="2:8" x14ac:dyDescent="0.25">
      <c r="C17" t="s">
        <v>49</v>
      </c>
      <c r="F17" s="4">
        <v>500</v>
      </c>
    </row>
    <row r="18" spans="2:8" x14ac:dyDescent="0.25">
      <c r="C18" t="s">
        <v>50</v>
      </c>
      <c r="F18" s="4">
        <v>800</v>
      </c>
    </row>
    <row r="19" spans="2:8" x14ac:dyDescent="0.25">
      <c r="C19" t="s">
        <v>5</v>
      </c>
      <c r="F19" s="4" t="s">
        <v>53</v>
      </c>
    </row>
    <row r="20" spans="2:8" x14ac:dyDescent="0.25">
      <c r="B20" t="s">
        <v>2</v>
      </c>
      <c r="G20" s="4">
        <v>300</v>
      </c>
    </row>
    <row r="21" spans="2:8" x14ac:dyDescent="0.25">
      <c r="B21" t="s">
        <v>14</v>
      </c>
      <c r="G21" s="4">
        <f>SUM(F22:F27)</f>
        <v>11850</v>
      </c>
    </row>
    <row r="22" spans="2:8" x14ac:dyDescent="0.25">
      <c r="C22" t="s">
        <v>15</v>
      </c>
      <c r="F22" s="4">
        <v>1650</v>
      </c>
    </row>
    <row r="23" spans="2:8" x14ac:dyDescent="0.25">
      <c r="C23" t="s">
        <v>16</v>
      </c>
      <c r="F23" s="4">
        <v>3000</v>
      </c>
    </row>
    <row r="24" spans="2:8" x14ac:dyDescent="0.25">
      <c r="C24" t="s">
        <v>17</v>
      </c>
      <c r="F24" s="4">
        <v>3000</v>
      </c>
    </row>
    <row r="25" spans="2:8" x14ac:dyDescent="0.25">
      <c r="C25" t="s">
        <v>18</v>
      </c>
      <c r="F25" s="4">
        <v>2600</v>
      </c>
    </row>
    <row r="26" spans="2:8" x14ac:dyDescent="0.25">
      <c r="C26" t="s">
        <v>54</v>
      </c>
      <c r="F26" s="4">
        <v>1500</v>
      </c>
    </row>
    <row r="27" spans="2:8" x14ac:dyDescent="0.25">
      <c r="C27" t="s">
        <v>5</v>
      </c>
      <c r="F27" s="4">
        <v>100</v>
      </c>
    </row>
    <row r="28" spans="2:8" x14ac:dyDescent="0.25">
      <c r="B28" t="s">
        <v>4</v>
      </c>
      <c r="G28" s="4">
        <v>1500</v>
      </c>
    </row>
    <row r="29" spans="2:8" x14ac:dyDescent="0.25">
      <c r="B29" t="s">
        <v>5</v>
      </c>
      <c r="G29" s="4">
        <v>957</v>
      </c>
    </row>
    <row r="31" spans="2:8" ht="18.75" x14ac:dyDescent="0.3">
      <c r="B31" s="6" t="s">
        <v>55</v>
      </c>
      <c r="C31" s="6"/>
      <c r="D31" s="6"/>
      <c r="E31" s="6"/>
      <c r="F31" s="7"/>
      <c r="G31" s="7">
        <f>SUM(Tabela2[Valor Final])</f>
        <v>45307</v>
      </c>
    </row>
    <row r="32" spans="2:8" ht="18.75" x14ac:dyDescent="0.3">
      <c r="B32" s="6" t="s">
        <v>91</v>
      </c>
      <c r="C32" s="6"/>
      <c r="D32" s="6"/>
      <c r="E32" s="6"/>
      <c r="F32" s="7"/>
      <c r="G32" s="7">
        <f>SUM(Tabela3[Valor pago])</f>
        <v>30855.040000000001</v>
      </c>
      <c r="H32" s="8"/>
    </row>
    <row r="33" spans="2:7" ht="18.75" x14ac:dyDescent="0.3">
      <c r="B33" s="6" t="s">
        <v>92</v>
      </c>
      <c r="G33" s="7">
        <f>SUM(G32+G31)</f>
        <v>76162.040000000008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1:I29"/>
  <sheetViews>
    <sheetView showGridLines="0" tabSelected="1" workbookViewId="0">
      <selection activeCell="A6" sqref="A6"/>
    </sheetView>
  </sheetViews>
  <sheetFormatPr defaultRowHeight="15" x14ac:dyDescent="0.25"/>
  <cols>
    <col min="2" max="2" width="13.140625" style="10" customWidth="1"/>
    <col min="3" max="3" width="21.140625" customWidth="1"/>
    <col min="4" max="4" width="15.7109375" bestFit="1" customWidth="1"/>
    <col min="5" max="5" width="14" customWidth="1"/>
    <col min="6" max="6" width="14.42578125" customWidth="1"/>
    <col min="7" max="7" width="18" style="4" bestFit="1" customWidth="1"/>
    <col min="8" max="8" width="11.5703125" style="8" bestFit="1" customWidth="1"/>
    <col min="9" max="9" width="18.28515625" style="4" bestFit="1" customWidth="1"/>
  </cols>
  <sheetData>
    <row r="1" spans="2:9" x14ac:dyDescent="0.25">
      <c r="F1" s="4"/>
    </row>
    <row r="2" spans="2:9" s="3" customFormat="1" ht="30" customHeight="1" x14ac:dyDescent="0.25">
      <c r="B2" s="51" t="s">
        <v>56</v>
      </c>
      <c r="C2" s="51"/>
      <c r="D2" s="51"/>
      <c r="E2" s="51"/>
      <c r="F2" s="5"/>
      <c r="G2" s="5"/>
      <c r="H2" s="9"/>
      <c r="I2" s="5"/>
    </row>
    <row r="3" spans="2:9" x14ac:dyDescent="0.25">
      <c r="F3" s="4"/>
    </row>
    <row r="4" spans="2:9" x14ac:dyDescent="0.25">
      <c r="F4" s="4"/>
    </row>
    <row r="5" spans="2:9" x14ac:dyDescent="0.25">
      <c r="F5" s="4"/>
    </row>
    <row r="6" spans="2:9" x14ac:dyDescent="0.25">
      <c r="B6" s="10" t="s">
        <v>42</v>
      </c>
      <c r="C6" t="s">
        <v>57</v>
      </c>
      <c r="D6" t="s">
        <v>58</v>
      </c>
      <c r="E6" t="s">
        <v>59</v>
      </c>
      <c r="F6" s="4" t="s">
        <v>60</v>
      </c>
      <c r="G6" s="4" t="s">
        <v>61</v>
      </c>
      <c r="H6" s="8" t="s">
        <v>62</v>
      </c>
      <c r="I6" s="4" t="s">
        <v>63</v>
      </c>
    </row>
    <row r="7" spans="2:9" x14ac:dyDescent="0.25">
      <c r="B7" s="17">
        <v>44685</v>
      </c>
      <c r="C7" t="s">
        <v>70</v>
      </c>
      <c r="D7" s="11" t="s">
        <v>21</v>
      </c>
      <c r="E7" s="11" t="str">
        <f>VLOOKUP(Tabela3[[#This Row],[Mercadoria]],Cálculos!$H$2:$K$22,4,0)</f>
        <v>Unidade</v>
      </c>
      <c r="F7" s="1">
        <v>100</v>
      </c>
      <c r="G7" s="12">
        <f>VLOOKUP(Tabela3[[#This Row],[Mercadoria]],Cálculos!H2:K22,2,0)</f>
        <v>2.84</v>
      </c>
      <c r="H7" s="15"/>
      <c r="I7" s="16">
        <f>Tabela3[[#This Row],[Quantidade]]*Tabela3[[#This Row],[Preço Unitário ]]*(1-Tabela3[[#This Row],[Desconto]])</f>
        <v>284</v>
      </c>
    </row>
    <row r="8" spans="2:9" x14ac:dyDescent="0.25">
      <c r="B8" s="17">
        <v>44687</v>
      </c>
      <c r="C8" t="s">
        <v>71</v>
      </c>
      <c r="D8" s="11" t="s">
        <v>30</v>
      </c>
      <c r="E8" s="11" t="str">
        <f>VLOOKUP(Tabela3[[#This Row],[Mercadoria]],Cálculos!$H$2:$K$22,4,0)</f>
        <v>Pacote</v>
      </c>
      <c r="F8" s="1">
        <v>100</v>
      </c>
      <c r="G8" s="12">
        <f>VLOOKUP(Tabela3[[#This Row],[Mercadoria]],Cálculos!H3:K23,2,0)</f>
        <v>1.06</v>
      </c>
      <c r="H8" s="15"/>
      <c r="I8" s="16">
        <f>Tabela3[[#This Row],[Quantidade]]*Tabela3[[#This Row],[Preço Unitário ]]*(1-Tabela3[[#This Row],[Desconto]])</f>
        <v>106</v>
      </c>
    </row>
    <row r="9" spans="2:9" x14ac:dyDescent="0.25">
      <c r="B9" s="17">
        <v>44688</v>
      </c>
      <c r="C9" t="s">
        <v>72</v>
      </c>
      <c r="D9" s="11" t="s">
        <v>35</v>
      </c>
      <c r="E9" s="11" t="str">
        <f>VLOOKUP(Tabela3[[#This Row],[Mercadoria]],Cálculos!$H$2:$K$22,4,0)</f>
        <v>Pacote</v>
      </c>
      <c r="F9" s="1">
        <v>60</v>
      </c>
      <c r="G9" s="12">
        <f>VLOOKUP(Tabela3[[#This Row],[Mercadoria]],Cálculos!H4:K24,2,0)</f>
        <v>1.85</v>
      </c>
      <c r="H9" s="15"/>
      <c r="I9" s="16">
        <f>Tabela3[[#This Row],[Quantidade]]*Tabela3[[#This Row],[Preço Unitário ]]*(1-Tabela3[[#This Row],[Desconto]])</f>
        <v>111</v>
      </c>
    </row>
    <row r="10" spans="2:9" x14ac:dyDescent="0.25">
      <c r="B10" s="17">
        <v>44689</v>
      </c>
      <c r="C10" t="s">
        <v>73</v>
      </c>
      <c r="D10" s="11" t="s">
        <v>38</v>
      </c>
      <c r="E10" s="11" t="str">
        <f>VLOOKUP(Tabela3[[#This Row],[Mercadoria]],Cálculos!$H$2:$K$22,4,0)</f>
        <v>Unidade</v>
      </c>
      <c r="F10" s="1">
        <v>200</v>
      </c>
      <c r="G10" s="12">
        <f>VLOOKUP(Tabela3[[#This Row],[Mercadoria]],Cálculos!H5:K25,2,0)</f>
        <v>1.0900000000000001</v>
      </c>
      <c r="H10" s="15"/>
      <c r="I10" s="16">
        <f>Tabela3[[#This Row],[Quantidade]]*Tabela3[[#This Row],[Preço Unitário ]]*(1-Tabela3[[#This Row],[Desconto]])</f>
        <v>218.00000000000003</v>
      </c>
    </row>
    <row r="11" spans="2:9" x14ac:dyDescent="0.25">
      <c r="B11" s="17">
        <v>44690</v>
      </c>
      <c r="C11" t="s">
        <v>74</v>
      </c>
      <c r="D11" s="11" t="s">
        <v>34</v>
      </c>
      <c r="E11" s="11" t="str">
        <f>VLOOKUP(Tabela3[[#This Row],[Mercadoria]],Cálculos!$H$2:$K$22,4,0)</f>
        <v>Unidade</v>
      </c>
      <c r="F11" s="1">
        <v>300</v>
      </c>
      <c r="G11" s="12">
        <f>VLOOKUP(Tabela3[[#This Row],[Mercadoria]],Cálculos!H6:K26,2,0)</f>
        <v>0.74</v>
      </c>
      <c r="H11" s="15"/>
      <c r="I11" s="16">
        <f>Tabela3[[#This Row],[Quantidade]]*Tabela3[[#This Row],[Preço Unitário ]]*(1-Tabela3[[#This Row],[Desconto]])</f>
        <v>222</v>
      </c>
    </row>
    <row r="12" spans="2:9" x14ac:dyDescent="0.25">
      <c r="B12" s="17">
        <v>44691</v>
      </c>
      <c r="C12" t="s">
        <v>75</v>
      </c>
      <c r="D12" s="11" t="s">
        <v>22</v>
      </c>
      <c r="E12" s="11" t="str">
        <f>VLOOKUP(Tabela3[[#This Row],[Mercadoria]],Cálculos!$H$2:$K$22,4,0)</f>
        <v>Kg</v>
      </c>
      <c r="F12" s="1">
        <v>100</v>
      </c>
      <c r="G12" s="12">
        <f>VLOOKUP(Tabela3[[#This Row],[Mercadoria]],Cálculos!H7:K27,2,0)</f>
        <v>14.47</v>
      </c>
      <c r="H12" s="15"/>
      <c r="I12" s="16">
        <f>Tabela3[[#This Row],[Quantidade]]*Tabela3[[#This Row],[Preço Unitário ]]*(1-Tabela3[[#This Row],[Desconto]])</f>
        <v>1447</v>
      </c>
    </row>
    <row r="13" spans="2:9" x14ac:dyDescent="0.25">
      <c r="B13" s="17">
        <v>44692</v>
      </c>
      <c r="C13" t="s">
        <v>76</v>
      </c>
      <c r="D13" s="11" t="s">
        <v>28</v>
      </c>
      <c r="E13" s="11" t="str">
        <f>VLOOKUP(Tabela3[[#This Row],[Mercadoria]],Cálculos!$H$2:$K$22,4,0)</f>
        <v>Kg</v>
      </c>
      <c r="F13" s="1">
        <v>100</v>
      </c>
      <c r="G13" s="12">
        <f>VLOOKUP(Tabela3[[#This Row],[Mercadoria]],Cálculos!H8:K28,2,0)</f>
        <v>3.63</v>
      </c>
      <c r="H13" s="15"/>
      <c r="I13" s="16">
        <f>Tabela3[[#This Row],[Quantidade]]*Tabela3[[#This Row],[Preço Unitário ]]*(1-Tabela3[[#This Row],[Desconto]])</f>
        <v>363</v>
      </c>
    </row>
    <row r="14" spans="2:9" x14ac:dyDescent="0.25">
      <c r="B14" s="17">
        <v>44693</v>
      </c>
      <c r="C14" t="s">
        <v>77</v>
      </c>
      <c r="D14" s="11" t="s">
        <v>31</v>
      </c>
      <c r="E14" s="11" t="str">
        <f>VLOOKUP(Tabela3[[#This Row],[Mercadoria]],Cálculos!$H$2:$K$22,4,0)</f>
        <v>Unidade</v>
      </c>
      <c r="F14" s="1">
        <v>60</v>
      </c>
      <c r="G14" s="12">
        <f>VLOOKUP(Tabela3[[#This Row],[Mercadoria]],Cálculos!H9:K29,2,0)</f>
        <v>2.1</v>
      </c>
      <c r="H14" s="15">
        <v>0.05</v>
      </c>
      <c r="I14" s="16">
        <f>Tabela3[[#This Row],[Quantidade]]*Tabela3[[#This Row],[Preço Unitário ]]*(1-Tabela3[[#This Row],[Desconto]])</f>
        <v>119.69999999999999</v>
      </c>
    </row>
    <row r="15" spans="2:9" x14ac:dyDescent="0.25">
      <c r="B15" s="17">
        <v>44694</v>
      </c>
      <c r="C15" t="s">
        <v>78</v>
      </c>
      <c r="D15" s="11" t="s">
        <v>36</v>
      </c>
      <c r="E15" s="11" t="str">
        <f>VLOOKUP(Tabela3[[#This Row],[Mercadoria]],Cálculos!$H$2:$K$22,4,0)</f>
        <v>Unidade</v>
      </c>
      <c r="F15" s="1">
        <v>200</v>
      </c>
      <c r="G15" s="12">
        <f>VLOOKUP(Tabela3[[#This Row],[Mercadoria]],Cálculos!H10:K30,2,0)</f>
        <v>4.54</v>
      </c>
      <c r="H15" s="15"/>
      <c r="I15" s="16">
        <f>Tabela3[[#This Row],[Quantidade]]*Tabela3[[#This Row],[Preço Unitário ]]*(1-Tabela3[[#This Row],[Desconto]])</f>
        <v>908</v>
      </c>
    </row>
    <row r="16" spans="2:9" x14ac:dyDescent="0.25">
      <c r="B16" s="17">
        <v>44695</v>
      </c>
      <c r="C16" t="s">
        <v>79</v>
      </c>
      <c r="D16" s="11" t="s">
        <v>37</v>
      </c>
      <c r="E16" s="11" t="str">
        <f>VLOOKUP(Tabela3[[#This Row],[Mercadoria]],Cálculos!$H$2:$K$22,4,0)</f>
        <v>Unidade</v>
      </c>
      <c r="F16" s="1">
        <v>300</v>
      </c>
      <c r="G16" s="12">
        <f>VLOOKUP(Tabela3[[#This Row],[Mercadoria]],Cálculos!H11:K31,2,0)</f>
        <v>6.35</v>
      </c>
      <c r="H16" s="15"/>
      <c r="I16" s="16">
        <f>Tabela3[[#This Row],[Quantidade]]*Tabela3[[#This Row],[Preço Unitário ]]*(1-Tabela3[[#This Row],[Desconto]])</f>
        <v>1905</v>
      </c>
    </row>
    <row r="17" spans="2:9" x14ac:dyDescent="0.25">
      <c r="B17" s="17">
        <v>44696</v>
      </c>
      <c r="C17" t="s">
        <v>80</v>
      </c>
      <c r="D17" s="11" t="s">
        <v>33</v>
      </c>
      <c r="E17" s="11" t="str">
        <f>VLOOKUP(Tabela3[[#This Row],[Mercadoria]],Cálculos!$H$2:$K$22,4,0)</f>
        <v>Unidade</v>
      </c>
      <c r="F17" s="1">
        <v>100</v>
      </c>
      <c r="G17" s="12">
        <f>VLOOKUP(Tabela3[[#This Row],[Mercadoria]],Cálculos!H12:K32,2,0)</f>
        <v>2.37</v>
      </c>
      <c r="H17" s="15"/>
      <c r="I17" s="16">
        <f>Tabela3[[#This Row],[Quantidade]]*Tabela3[[#This Row],[Preço Unitário ]]*(1-Tabela3[[#This Row],[Desconto]])</f>
        <v>237</v>
      </c>
    </row>
    <row r="18" spans="2:9" x14ac:dyDescent="0.25">
      <c r="B18" s="17">
        <v>44697</v>
      </c>
      <c r="C18" t="s">
        <v>81</v>
      </c>
      <c r="D18" s="11" t="s">
        <v>19</v>
      </c>
      <c r="E18" s="11" t="str">
        <f>VLOOKUP(Tabela3[[#This Row],[Mercadoria]],Cálculos!$H$2:$K$22,4,0)</f>
        <v>Kg</v>
      </c>
      <c r="F18" s="1">
        <v>100</v>
      </c>
      <c r="G18" s="12">
        <f>VLOOKUP(Tabela3[[#This Row],[Mercadoria]],Cálculos!H13:K33,2,0)</f>
        <v>4.07</v>
      </c>
      <c r="H18" s="15">
        <v>0.03</v>
      </c>
      <c r="I18" s="16">
        <f>Tabela3[[#This Row],[Quantidade]]*Tabela3[[#This Row],[Preço Unitário ]]*(1-Tabela3[[#This Row],[Desconto]])</f>
        <v>394.78999999999996</v>
      </c>
    </row>
    <row r="19" spans="2:9" x14ac:dyDescent="0.25">
      <c r="B19" s="17">
        <v>44698</v>
      </c>
      <c r="C19" t="s">
        <v>82</v>
      </c>
      <c r="D19" s="11" t="s">
        <v>23</v>
      </c>
      <c r="E19" s="11" t="str">
        <f>VLOOKUP(Tabela3[[#This Row],[Mercadoria]],Cálculos!$H$2:$K$22,4,0)</f>
        <v>Kg</v>
      </c>
      <c r="F19" s="1">
        <v>60</v>
      </c>
      <c r="G19" s="12">
        <f>VLOOKUP(Tabela3[[#This Row],[Mercadoria]],Cálculos!H14:K34,2,0)</f>
        <v>6.42</v>
      </c>
      <c r="H19" s="15"/>
      <c r="I19" s="16">
        <f>Tabela3[[#This Row],[Quantidade]]*Tabela3[[#This Row],[Preço Unitário ]]*(1-Tabela3[[#This Row],[Desconto]])</f>
        <v>385.2</v>
      </c>
    </row>
    <row r="20" spans="2:9" x14ac:dyDescent="0.25">
      <c r="B20" s="17">
        <v>44699</v>
      </c>
      <c r="C20" t="s">
        <v>83</v>
      </c>
      <c r="D20" s="11" t="s">
        <v>66</v>
      </c>
      <c r="E20" s="11" t="str">
        <f>VLOOKUP(Tabela3[[#This Row],[Mercadoria]],Cálculos!$H$2:$K$22,4,0)</f>
        <v>Unidade</v>
      </c>
      <c r="F20" s="1">
        <v>200</v>
      </c>
      <c r="G20" s="12">
        <f>VLOOKUP(Tabela3[[#This Row],[Mercadoria]],Cálculos!H15:K35,2,0)</f>
        <v>2.63</v>
      </c>
      <c r="H20" s="15">
        <v>0.03</v>
      </c>
      <c r="I20" s="16">
        <f>Tabela3[[#This Row],[Quantidade]]*Tabela3[[#This Row],[Preço Unitário ]]*(1-Tabela3[[#This Row],[Desconto]])</f>
        <v>510.21999999999997</v>
      </c>
    </row>
    <row r="21" spans="2:9" x14ac:dyDescent="0.25">
      <c r="B21" s="17">
        <v>44700</v>
      </c>
      <c r="C21" t="s">
        <v>84</v>
      </c>
      <c r="D21" s="11" t="s">
        <v>24</v>
      </c>
      <c r="E21" s="11" t="str">
        <f>VLOOKUP(Tabela3[[#This Row],[Mercadoria]],Cálculos!$H$2:$K$22,4,0)</f>
        <v>Kg</v>
      </c>
      <c r="F21" s="1">
        <v>300</v>
      </c>
      <c r="G21" s="12">
        <f>VLOOKUP(Tabela3[[#This Row],[Mercadoria]],Cálculos!H16:K36,2,0)</f>
        <v>22.23</v>
      </c>
      <c r="H21" s="15">
        <v>0.05</v>
      </c>
      <c r="I21" s="16">
        <f>Tabela3[[#This Row],[Quantidade]]*Tabela3[[#This Row],[Preço Unitário ]]*(1-Tabela3[[#This Row],[Desconto]])</f>
        <v>6335.5499999999993</v>
      </c>
    </row>
    <row r="22" spans="2:9" x14ac:dyDescent="0.25">
      <c r="B22" s="17">
        <v>44701</v>
      </c>
      <c r="C22" t="s">
        <v>85</v>
      </c>
      <c r="D22" s="11" t="s">
        <v>25</v>
      </c>
      <c r="E22" s="11" t="str">
        <f>VLOOKUP(Tabela3[[#This Row],[Mercadoria]],Cálculos!$H$2:$K$22,4,0)</f>
        <v>Kg</v>
      </c>
      <c r="F22" s="1">
        <v>100</v>
      </c>
      <c r="G22" s="12">
        <f>VLOOKUP(Tabela3[[#This Row],[Mercadoria]],Cálculos!H17:K37,2,0)</f>
        <v>23.83</v>
      </c>
      <c r="H22" s="15"/>
      <c r="I22" s="16">
        <f>Tabela3[[#This Row],[Quantidade]]*Tabela3[[#This Row],[Preço Unitário ]]*(1-Tabela3[[#This Row],[Desconto]])</f>
        <v>2383</v>
      </c>
    </row>
    <row r="23" spans="2:9" x14ac:dyDescent="0.25">
      <c r="B23" s="17">
        <v>44702</v>
      </c>
      <c r="C23" t="s">
        <v>86</v>
      </c>
      <c r="D23" s="11" t="s">
        <v>27</v>
      </c>
      <c r="E23" s="11" t="str">
        <f>VLOOKUP(Tabela3[[#This Row],[Mercadoria]],Cálculos!$H$2:$K$22,4,0)</f>
        <v>Litro</v>
      </c>
      <c r="F23" s="1">
        <v>100</v>
      </c>
      <c r="G23" s="12">
        <f>VLOOKUP(Tabela3[[#This Row],[Mercadoria]],Cálculos!H18:K38,2,0)</f>
        <v>3.21</v>
      </c>
      <c r="H23" s="15">
        <v>0.02</v>
      </c>
      <c r="I23" s="16">
        <f>Tabela3[[#This Row],[Quantidade]]*Tabela3[[#This Row],[Preço Unitário ]]*(1-Tabela3[[#This Row],[Desconto]])</f>
        <v>314.58</v>
      </c>
    </row>
    <row r="24" spans="2:9" x14ac:dyDescent="0.25">
      <c r="B24" s="17">
        <v>44703</v>
      </c>
      <c r="C24" t="s">
        <v>87</v>
      </c>
      <c r="D24" s="11" t="s">
        <v>20</v>
      </c>
      <c r="E24" s="11" t="str">
        <f>VLOOKUP(Tabela3[[#This Row],[Mercadoria]],Cálculos!$H$2:$K$22,4,0)</f>
        <v>Kg</v>
      </c>
      <c r="F24" s="1">
        <v>60</v>
      </c>
      <c r="G24" s="12">
        <f>VLOOKUP(Tabela3[[#This Row],[Mercadoria]],Cálculos!H19:K39,2,0)</f>
        <v>5.35</v>
      </c>
      <c r="H24" s="15"/>
      <c r="I24" s="16">
        <f>Tabela3[[#This Row],[Quantidade]]*Tabela3[[#This Row],[Preço Unitário ]]*(1-Tabela3[[#This Row],[Desconto]])</f>
        <v>321</v>
      </c>
    </row>
    <row r="25" spans="2:9" x14ac:dyDescent="0.25">
      <c r="B25" s="17">
        <v>44704</v>
      </c>
      <c r="C25" t="s">
        <v>88</v>
      </c>
      <c r="D25" s="11" t="s">
        <v>29</v>
      </c>
      <c r="E25" s="11" t="str">
        <f>VLOOKUP(Tabela3[[#This Row],[Mercadoria]],Cálculos!$H$2:$K$22,4,0)</f>
        <v>Kg</v>
      </c>
      <c r="F25" s="1">
        <v>200</v>
      </c>
      <c r="G25" s="12">
        <f>VLOOKUP(Tabela3[[#This Row],[Mercadoria]],Cálculos!H20:K40,2,0)</f>
        <v>9.1</v>
      </c>
      <c r="H25" s="15"/>
      <c r="I25" s="16">
        <f>Tabela3[[#This Row],[Quantidade]]*Tabela3[[#This Row],[Preço Unitário ]]*(1-Tabela3[[#This Row],[Desconto]])</f>
        <v>1820</v>
      </c>
    </row>
    <row r="26" spans="2:9" x14ac:dyDescent="0.25">
      <c r="B26" s="17">
        <v>44705</v>
      </c>
      <c r="C26" t="s">
        <v>89</v>
      </c>
      <c r="D26" s="11" t="s">
        <v>26</v>
      </c>
      <c r="E26" s="11" t="str">
        <f>VLOOKUP(Tabela3[[#This Row],[Mercadoria]],Cálculos!$H$2:$K$22,4,0)</f>
        <v>Unidade</v>
      </c>
      <c r="F26" s="1">
        <v>300</v>
      </c>
      <c r="G26" s="12">
        <f>VLOOKUP(Tabela3[[#This Row],[Mercadoria]],Cálculos!H21:K41,2,0)</f>
        <v>26.01</v>
      </c>
      <c r="H26" s="15"/>
      <c r="I26" s="16">
        <f>Tabela3[[#This Row],[Quantidade]]*Tabela3[[#This Row],[Preço Unitário ]]*(1-Tabela3[[#This Row],[Desconto]])</f>
        <v>7803.0000000000009</v>
      </c>
    </row>
    <row r="27" spans="2:9" x14ac:dyDescent="0.25">
      <c r="B27" s="17">
        <v>44706</v>
      </c>
      <c r="C27" t="s">
        <v>90</v>
      </c>
      <c r="D27" s="13" t="s">
        <v>32</v>
      </c>
      <c r="E27" s="13" t="str">
        <f>VLOOKUP(Tabela3[[#This Row],[Mercadoria]],Cálculos!$H$2:$K$22,4,0)</f>
        <v>Unidade</v>
      </c>
      <c r="F27" s="1">
        <v>100</v>
      </c>
      <c r="G27" s="14">
        <f>VLOOKUP(Tabela3[[#This Row],[Mercadoria]],Cálculos!H22:K42,2,0)</f>
        <v>46.67</v>
      </c>
      <c r="H27" s="15"/>
      <c r="I27" s="16">
        <f>Tabela3[[#This Row],[Quantidade]]*Tabela3[[#This Row],[Preço Unitário ]]*(1-Tabela3[[#This Row],[Desconto]])</f>
        <v>4667</v>
      </c>
    </row>
    <row r="29" spans="2:9" ht="18.75" x14ac:dyDescent="0.3">
      <c r="B29" s="6" t="s">
        <v>91</v>
      </c>
      <c r="C29" s="6"/>
      <c r="D29" s="6"/>
      <c r="E29" s="6"/>
      <c r="F29" s="7"/>
      <c r="I29" s="7">
        <f>SUM(Tabela3[Valor pago])</f>
        <v>30855.040000000001</v>
      </c>
    </row>
  </sheetData>
  <mergeCells count="1">
    <mergeCell ref="B2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Cálculos!$H$2:$H$29</xm:f>
          </x14:formula1>
          <xm:sqref>D7:D27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:I24"/>
  <sheetViews>
    <sheetView showGridLines="0" workbookViewId="0"/>
  </sheetViews>
  <sheetFormatPr defaultRowHeight="15" x14ac:dyDescent="0.25"/>
  <cols>
    <col min="2" max="2" width="15.140625" bestFit="1" customWidth="1"/>
    <col min="3" max="3" width="17.28515625" bestFit="1" customWidth="1"/>
    <col min="4" max="4" width="10.85546875" customWidth="1"/>
    <col min="5" max="5" width="52" customWidth="1"/>
    <col min="6" max="6" width="19.7109375" bestFit="1" customWidth="1"/>
  </cols>
  <sheetData>
    <row r="1" spans="2:9" x14ac:dyDescent="0.25">
      <c r="B1" s="10"/>
      <c r="F1" s="4"/>
      <c r="G1" s="4"/>
      <c r="H1" s="8"/>
      <c r="I1" s="4"/>
    </row>
    <row r="2" spans="2:9" s="3" customFormat="1" ht="30" customHeight="1" x14ac:dyDescent="0.25">
      <c r="B2" s="51" t="s">
        <v>8</v>
      </c>
      <c r="C2" s="51"/>
      <c r="D2" s="51"/>
      <c r="E2" s="51"/>
      <c r="F2" s="5"/>
      <c r="G2" s="5"/>
      <c r="H2" s="9"/>
      <c r="I2" s="5"/>
    </row>
    <row r="3" spans="2:9" x14ac:dyDescent="0.25">
      <c r="B3" s="10"/>
      <c r="F3" s="4"/>
      <c r="G3" s="4"/>
      <c r="H3" s="8"/>
      <c r="I3" s="4"/>
    </row>
    <row r="4" spans="2:9" x14ac:dyDescent="0.25">
      <c r="B4" s="10" t="s">
        <v>102</v>
      </c>
      <c r="C4" t="s">
        <v>103</v>
      </c>
      <c r="D4" t="s">
        <v>42</v>
      </c>
      <c r="E4" t="s">
        <v>104</v>
      </c>
      <c r="F4" s="4" t="s">
        <v>105</v>
      </c>
      <c r="G4" s="4"/>
      <c r="H4" s="8"/>
      <c r="I4" s="4"/>
    </row>
    <row r="5" spans="2:9" x14ac:dyDescent="0.25">
      <c r="B5" t="s">
        <v>106</v>
      </c>
      <c r="D5" s="10">
        <v>43466</v>
      </c>
      <c r="F5" s="4">
        <v>600000</v>
      </c>
    </row>
    <row r="6" spans="2:9" x14ac:dyDescent="0.25">
      <c r="B6" t="s">
        <v>13</v>
      </c>
      <c r="C6" t="s">
        <v>108</v>
      </c>
      <c r="D6" s="10">
        <v>43497</v>
      </c>
      <c r="F6" s="4">
        <v>20000</v>
      </c>
    </row>
    <row r="7" spans="2:9" x14ac:dyDescent="0.25">
      <c r="C7" t="s">
        <v>109</v>
      </c>
      <c r="D7" s="10">
        <v>43497</v>
      </c>
      <c r="F7" s="4">
        <v>5000</v>
      </c>
    </row>
    <row r="8" spans="2:9" x14ac:dyDescent="0.25">
      <c r="C8" t="s">
        <v>111</v>
      </c>
      <c r="D8" s="10">
        <v>43497</v>
      </c>
      <c r="F8" s="4">
        <v>5000</v>
      </c>
    </row>
    <row r="9" spans="2:9" x14ac:dyDescent="0.25">
      <c r="C9" t="s">
        <v>110</v>
      </c>
      <c r="D9" s="10">
        <v>43497</v>
      </c>
      <c r="F9" s="4">
        <v>1000</v>
      </c>
    </row>
    <row r="10" spans="2:9" x14ac:dyDescent="0.25">
      <c r="B10" t="s">
        <v>93</v>
      </c>
      <c r="D10" s="10"/>
      <c r="F10" s="4"/>
    </row>
    <row r="11" spans="2:9" x14ac:dyDescent="0.25">
      <c r="C11" t="s">
        <v>94</v>
      </c>
      <c r="D11" s="10"/>
      <c r="F11" s="4">
        <v>10000</v>
      </c>
    </row>
    <row r="12" spans="2:9" x14ac:dyDescent="0.25">
      <c r="C12" t="s">
        <v>95</v>
      </c>
      <c r="D12" s="10"/>
      <c r="F12" s="4">
        <v>2000</v>
      </c>
    </row>
    <row r="13" spans="2:9" x14ac:dyDescent="0.25">
      <c r="C13" t="s">
        <v>96</v>
      </c>
      <c r="D13" s="10"/>
      <c r="F13" s="4">
        <v>1000</v>
      </c>
    </row>
    <row r="14" spans="2:9" x14ac:dyDescent="0.25">
      <c r="C14" t="s">
        <v>100</v>
      </c>
      <c r="D14" s="10"/>
      <c r="F14" s="4">
        <v>6000</v>
      </c>
    </row>
    <row r="15" spans="2:9" x14ac:dyDescent="0.25">
      <c r="C15" t="s">
        <v>101</v>
      </c>
      <c r="D15" s="10"/>
      <c r="F15" s="4">
        <v>500</v>
      </c>
    </row>
    <row r="16" spans="2:9" x14ac:dyDescent="0.25">
      <c r="C16" t="s">
        <v>107</v>
      </c>
      <c r="D16" s="10"/>
      <c r="F16" s="4">
        <v>20000</v>
      </c>
    </row>
    <row r="17" spans="2:6" x14ac:dyDescent="0.25">
      <c r="B17" t="s">
        <v>97</v>
      </c>
      <c r="D17" s="10"/>
      <c r="F17" s="4"/>
    </row>
    <row r="18" spans="2:6" x14ac:dyDescent="0.25">
      <c r="C18" t="s">
        <v>98</v>
      </c>
      <c r="D18" s="10"/>
      <c r="F18" s="4">
        <v>30000</v>
      </c>
    </row>
    <row r="19" spans="2:6" x14ac:dyDescent="0.25">
      <c r="C19" t="s">
        <v>99</v>
      </c>
      <c r="D19" s="10"/>
      <c r="F19" s="4">
        <v>15000</v>
      </c>
    </row>
    <row r="20" spans="2:6" x14ac:dyDescent="0.25">
      <c r="B20" t="s">
        <v>5</v>
      </c>
      <c r="D20" s="10"/>
      <c r="F20" s="4"/>
    </row>
    <row r="22" spans="2:6" ht="18.75" x14ac:dyDescent="0.3">
      <c r="B22" s="6" t="s">
        <v>113</v>
      </c>
      <c r="C22" s="6"/>
      <c r="D22" s="6"/>
      <c r="E22" s="6"/>
      <c r="F22" s="7">
        <f>SUM(F6:F20)</f>
        <v>115500</v>
      </c>
    </row>
    <row r="23" spans="2:6" ht="18.75" x14ac:dyDescent="0.3">
      <c r="B23" s="6" t="s">
        <v>112</v>
      </c>
      <c r="F23" s="7">
        <v>600000</v>
      </c>
    </row>
    <row r="24" spans="2:6" ht="18.75" x14ac:dyDescent="0.3">
      <c r="B24" s="6" t="s">
        <v>114</v>
      </c>
      <c r="F24" s="7">
        <f>F23-F22</f>
        <v>484500</v>
      </c>
    </row>
  </sheetData>
  <mergeCells count="1">
    <mergeCell ref="B2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1:J25"/>
  <sheetViews>
    <sheetView showGridLines="0" workbookViewId="0">
      <selection activeCell="K7" sqref="K7"/>
    </sheetView>
  </sheetViews>
  <sheetFormatPr defaultRowHeight="15" x14ac:dyDescent="0.25"/>
  <cols>
    <col min="2" max="2" width="15.7109375" bestFit="1" customWidth="1"/>
    <col min="3" max="3" width="16.42578125" style="10" bestFit="1" customWidth="1"/>
    <col min="4" max="4" width="12.28515625" bestFit="1" customWidth="1"/>
    <col min="5" max="5" width="16.140625" bestFit="1" customWidth="1"/>
    <col min="6" max="6" width="16.7109375" style="1" bestFit="1" customWidth="1"/>
    <col min="7" max="7" width="14" style="1" bestFit="1" customWidth="1"/>
    <col min="8" max="8" width="17.28515625" style="1" customWidth="1"/>
    <col min="9" max="9" width="8.42578125" bestFit="1" customWidth="1"/>
  </cols>
  <sheetData>
    <row r="1" spans="2:10" x14ac:dyDescent="0.25">
      <c r="B1" s="10"/>
      <c r="F1" s="16"/>
      <c r="G1" s="16"/>
      <c r="H1" s="16"/>
      <c r="I1" s="8"/>
      <c r="J1" s="4"/>
    </row>
    <row r="2" spans="2:10" s="20" customFormat="1" ht="30" customHeight="1" x14ac:dyDescent="0.25">
      <c r="B2" s="52" t="s">
        <v>9</v>
      </c>
      <c r="C2" s="52"/>
      <c r="D2" s="52"/>
      <c r="E2" s="52"/>
      <c r="F2" s="21"/>
      <c r="G2" s="21"/>
      <c r="H2" s="21"/>
      <c r="I2" s="19"/>
      <c r="J2" s="18"/>
    </row>
    <row r="3" spans="2:10" x14ac:dyDescent="0.25">
      <c r="B3" s="10"/>
      <c r="F3" s="16"/>
      <c r="G3" s="16"/>
      <c r="H3" s="16"/>
      <c r="I3" s="8"/>
      <c r="J3" s="4"/>
    </row>
    <row r="4" spans="2:10" x14ac:dyDescent="0.25">
      <c r="B4" s="1" t="s">
        <v>115</v>
      </c>
      <c r="C4" s="17" t="s">
        <v>116</v>
      </c>
      <c r="D4" s="1" t="s">
        <v>118</v>
      </c>
      <c r="E4" s="1" t="s">
        <v>117</v>
      </c>
      <c r="F4" s="1" t="s">
        <v>121</v>
      </c>
      <c r="G4" s="1" t="s">
        <v>120</v>
      </c>
      <c r="H4" s="1" t="s">
        <v>119</v>
      </c>
    </row>
    <row r="5" spans="2:10" x14ac:dyDescent="0.25">
      <c r="B5" s="11" t="s">
        <v>21</v>
      </c>
      <c r="C5" s="10">
        <f>IFERROR(INDEX(Tabela3[],MATCH(B5,Tabela3[Mercadoria],0),1),"")</f>
        <v>44685</v>
      </c>
      <c r="D5" s="1">
        <v>20</v>
      </c>
      <c r="E5" s="1">
        <f>SUMIF(Tabela3[Mercadoria],Tabela1[[#This Row],[Produto]],Tabela3[Quantidade])</f>
        <v>100</v>
      </c>
      <c r="F5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10</v>
      </c>
      <c r="G5" s="1">
        <f>Tabela1[[#This Row],[Qtd inicial]]+Tabela1[[#This Row],[Qtd Comprada]]-Tabela1[[#This Row],[Qtd Vendida]]</f>
        <v>110</v>
      </c>
      <c r="H5" s="1" t="str">
        <f>IF(Tabela1[[#This Row],[Qtd Atual]]&lt;50,IF(Tabela1[[#This Row],[Qtd Atual]]&lt;21,"Comprar","Atenção"),"OK")</f>
        <v>OK</v>
      </c>
    </row>
    <row r="6" spans="2:10" x14ac:dyDescent="0.25">
      <c r="B6" s="11" t="s">
        <v>30</v>
      </c>
      <c r="C6" s="10">
        <f>IFERROR(INDEX(Tabela3[],MATCH(B6,Tabela3[Mercadoria],0),1),"")</f>
        <v>44687</v>
      </c>
      <c r="D6" s="1">
        <v>6</v>
      </c>
      <c r="E6" s="1">
        <f>SUMIF(Tabela3[Mercadoria],Tabela1[[#This Row],[Produto]],Tabela3[Quantidade])</f>
        <v>100</v>
      </c>
      <c r="F6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9</v>
      </c>
      <c r="G6" s="1">
        <f>Tabela1[[#This Row],[Qtd inicial]]+Tabela1[[#This Row],[Qtd Comprada]]-Tabela1[[#This Row],[Qtd Vendida]]</f>
        <v>97</v>
      </c>
      <c r="H6" s="1" t="str">
        <f>IF(Tabela1[[#This Row],[Qtd Atual]]&lt;50,IF(Tabela1[[#This Row],[Qtd Atual]]&lt;21,"Comprar","Atenção"),"OK")</f>
        <v>OK</v>
      </c>
    </row>
    <row r="7" spans="2:10" x14ac:dyDescent="0.25">
      <c r="B7" s="11" t="s">
        <v>35</v>
      </c>
      <c r="C7" s="10">
        <f>IFERROR(INDEX(Tabela3[],MATCH(B7,Tabela3[Mercadoria],0),1),"")</f>
        <v>44688</v>
      </c>
      <c r="D7" s="1">
        <v>0</v>
      </c>
      <c r="E7" s="1">
        <f>SUMIF(Tabela3[Mercadoria],Tabela1[[#This Row],[Produto]],Tabela3[Quantidade])</f>
        <v>60</v>
      </c>
      <c r="F7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</v>
      </c>
      <c r="G7" s="1">
        <f>Tabela1[[#This Row],[Qtd inicial]]+Tabela1[[#This Row],[Qtd Comprada]]-Tabela1[[#This Row],[Qtd Vendida]]</f>
        <v>59</v>
      </c>
      <c r="H7" s="1" t="str">
        <f>IF(Tabela1[[#This Row],[Qtd Atual]]&lt;50,IF(Tabela1[[#This Row],[Qtd Atual]]&lt;21,"Comprar","Atenção"),"OK")</f>
        <v>OK</v>
      </c>
    </row>
    <row r="8" spans="2:10" x14ac:dyDescent="0.25">
      <c r="B8" s="11" t="s">
        <v>38</v>
      </c>
      <c r="C8" s="10">
        <f>IFERROR(INDEX(Tabela3[],MATCH(B8,Tabela3[Mercadoria],0),1),"")</f>
        <v>44689</v>
      </c>
      <c r="D8" s="1">
        <v>5</v>
      </c>
      <c r="E8" s="1">
        <f>SUMIF(Tabela3[Mercadoria],Tabela1[[#This Row],[Produto]],Tabela3[Quantidade])</f>
        <v>200</v>
      </c>
      <c r="F8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7</v>
      </c>
      <c r="G8" s="1">
        <f>Tabela1[[#This Row],[Qtd inicial]]+Tabela1[[#This Row],[Qtd Comprada]]-Tabela1[[#This Row],[Qtd Vendida]]</f>
        <v>198</v>
      </c>
      <c r="H8" s="1" t="str">
        <f>IF(Tabela1[[#This Row],[Qtd Atual]]&lt;50,IF(Tabela1[[#This Row],[Qtd Atual]]&lt;21,"Comprar","Atenção"),"OK")</f>
        <v>OK</v>
      </c>
    </row>
    <row r="9" spans="2:10" x14ac:dyDescent="0.25">
      <c r="B9" s="11" t="s">
        <v>34</v>
      </c>
      <c r="C9" s="10">
        <f>IFERROR(INDEX(Tabela3[],MATCH(B9,Tabela3[Mercadoria],0),1),"")</f>
        <v>44690</v>
      </c>
      <c r="D9" s="1">
        <v>4</v>
      </c>
      <c r="E9" s="1">
        <f>SUMIF(Tabela3[Mercadoria],Tabela1[[#This Row],[Produto]],Tabela3[Quantidade])</f>
        <v>300</v>
      </c>
      <c r="F9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</v>
      </c>
      <c r="G9" s="1">
        <f>Tabela1[[#This Row],[Qtd inicial]]+Tabela1[[#This Row],[Qtd Comprada]]-Tabela1[[#This Row],[Qtd Vendida]]</f>
        <v>303</v>
      </c>
      <c r="H9" s="1" t="str">
        <f>IF(Tabela1[[#This Row],[Qtd Atual]]&lt;50,IF(Tabela1[[#This Row],[Qtd Atual]]&lt;21,"Comprar","Atenção"),"OK")</f>
        <v>OK</v>
      </c>
    </row>
    <row r="10" spans="2:10" x14ac:dyDescent="0.25">
      <c r="B10" s="11" t="s">
        <v>22</v>
      </c>
      <c r="C10" s="10">
        <f>IFERROR(INDEX(Tabela3[],MATCH(B10,Tabela3[Mercadoria],0),1),"")</f>
        <v>44691</v>
      </c>
      <c r="D10" s="1">
        <v>1</v>
      </c>
      <c r="E10" s="1">
        <v>100</v>
      </c>
      <c r="F10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45</v>
      </c>
      <c r="G10" s="1">
        <f>Tabela1[[#This Row],[Qtd inicial]]+Tabela1[[#This Row],[Qtd Comprada]]-Tabela1[[#This Row],[Qtd Vendida]]</f>
        <v>56</v>
      </c>
      <c r="H10" s="1" t="str">
        <f>IF(Tabela1[[#This Row],[Qtd Atual]]&lt;50,IF(Tabela1[[#This Row],[Qtd Atual]]&lt;21,"Comprar","Atenção"),"OK")</f>
        <v>OK</v>
      </c>
    </row>
    <row r="11" spans="2:10" x14ac:dyDescent="0.25">
      <c r="B11" s="11" t="s">
        <v>28</v>
      </c>
      <c r="C11" s="10">
        <f>IFERROR(INDEX(Tabela3[],MATCH(B11,Tabela3[Mercadoria],0),1),"")</f>
        <v>44692</v>
      </c>
      <c r="D11" s="1">
        <v>58</v>
      </c>
      <c r="E11" s="1">
        <f>SUMIF(Tabela3[Mercadoria],Tabela1[[#This Row],[Produto]],Tabela3[Quantidade])</f>
        <v>100</v>
      </c>
      <c r="F11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3</v>
      </c>
      <c r="G11" s="1">
        <f>Tabela1[[#This Row],[Qtd inicial]]+Tabela1[[#This Row],[Qtd Comprada]]-Tabela1[[#This Row],[Qtd Vendida]]</f>
        <v>155</v>
      </c>
      <c r="H11" s="1" t="str">
        <f>IF(Tabela1[[#This Row],[Qtd Atual]]&lt;50,IF(Tabela1[[#This Row],[Qtd Atual]]&lt;21,"Comprar","Atenção"),"OK")</f>
        <v>OK</v>
      </c>
    </row>
    <row r="12" spans="2:10" x14ac:dyDescent="0.25">
      <c r="B12" s="11" t="s">
        <v>31</v>
      </c>
      <c r="C12" s="10">
        <f>IFERROR(INDEX(Tabela3[],MATCH(B12,Tabela3[Mercadoria],0),1),"")</f>
        <v>44693</v>
      </c>
      <c r="D12" s="1">
        <v>7</v>
      </c>
      <c r="E12" s="1">
        <v>120</v>
      </c>
      <c r="F12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102</v>
      </c>
      <c r="G12" s="1">
        <f>Tabela1[[#This Row],[Qtd inicial]]+Tabela1[[#This Row],[Qtd Comprada]]-Tabela1[[#This Row],[Qtd Vendida]]</f>
        <v>25</v>
      </c>
      <c r="H12" s="1" t="str">
        <f>IF(Tabela1[[#This Row],[Qtd Atual]]&lt;50,IF(Tabela1[[#This Row],[Qtd Atual]]&lt;21,"Comprar","Atenção"),"OK")</f>
        <v>Atenção</v>
      </c>
    </row>
    <row r="13" spans="2:10" x14ac:dyDescent="0.25">
      <c r="B13" s="11" t="s">
        <v>36</v>
      </c>
      <c r="C13" s="10">
        <f>IFERROR(INDEX(Tabela3[],MATCH(B13,Tabela3[Mercadoria],0),1),"")</f>
        <v>44694</v>
      </c>
      <c r="D13" s="1">
        <v>14</v>
      </c>
      <c r="E13" s="1">
        <f>SUMIF(Tabela3[Mercadoria],Tabela1[[#This Row],[Produto]],Tabela3[Quantidade])</f>
        <v>200</v>
      </c>
      <c r="F13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7</v>
      </c>
      <c r="G13" s="1">
        <f>Tabela1[[#This Row],[Qtd inicial]]+Tabela1[[#This Row],[Qtd Comprada]]-Tabela1[[#This Row],[Qtd Vendida]]</f>
        <v>207</v>
      </c>
      <c r="H13" s="1" t="str">
        <f>IF(Tabela1[[#This Row],[Qtd Atual]]&lt;50,IF(Tabela1[[#This Row],[Qtd Atual]]&lt;21,"Comprar","Atenção"),"OK")</f>
        <v>OK</v>
      </c>
    </row>
    <row r="14" spans="2:10" x14ac:dyDescent="0.25">
      <c r="B14" s="11" t="s">
        <v>37</v>
      </c>
      <c r="C14" s="10">
        <f>IFERROR(INDEX(Tabela3[],MATCH(B14,Tabela3[Mercadoria],0),1),"")</f>
        <v>44695</v>
      </c>
      <c r="D14" s="1">
        <v>20</v>
      </c>
      <c r="E14" s="1">
        <v>20</v>
      </c>
      <c r="F14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2</v>
      </c>
      <c r="G14" s="1">
        <f>Tabela1[[#This Row],[Qtd inicial]]+Tabela1[[#This Row],[Qtd Comprada]]-Tabela1[[#This Row],[Qtd Vendida]]</f>
        <v>38</v>
      </c>
      <c r="H14" s="1" t="str">
        <f>IF(Tabela1[[#This Row],[Qtd Atual]]&lt;50,IF(Tabela1[[#This Row],[Qtd Atual]]&lt;21,"Comprar","Atenção"),"OK")</f>
        <v>Atenção</v>
      </c>
    </row>
    <row r="15" spans="2:10" x14ac:dyDescent="0.25">
      <c r="B15" s="11" t="s">
        <v>33</v>
      </c>
      <c r="C15" s="10">
        <f>IFERROR(INDEX(Tabela3[],MATCH(B15,Tabela3[Mercadoria],0),1),"")</f>
        <v>44696</v>
      </c>
      <c r="D15" s="1">
        <v>9</v>
      </c>
      <c r="E15" s="1">
        <f>SUMIF(Tabela3[Mercadoria],Tabela1[[#This Row],[Produto]],Tabela3[Quantidade])</f>
        <v>100</v>
      </c>
      <c r="F15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</v>
      </c>
      <c r="G15" s="1">
        <f>Tabela1[[#This Row],[Qtd inicial]]+Tabela1[[#This Row],[Qtd Comprada]]-Tabela1[[#This Row],[Qtd Vendida]]</f>
        <v>108</v>
      </c>
      <c r="H15" s="1" t="str">
        <f>IF(Tabela1[[#This Row],[Qtd Atual]]&lt;50,IF(Tabela1[[#This Row],[Qtd Atual]]&lt;21,"Comprar","Atenção"),"OK")</f>
        <v>OK</v>
      </c>
    </row>
    <row r="16" spans="2:10" x14ac:dyDescent="0.25">
      <c r="B16" s="11" t="s">
        <v>19</v>
      </c>
      <c r="C16" s="10">
        <f>IFERROR(INDEX(Tabela3[],MATCH(B16,Tabela3[Mercadoria],0),1),"")</f>
        <v>44697</v>
      </c>
      <c r="D16" s="1">
        <v>32</v>
      </c>
      <c r="E16" s="1">
        <f>SUMIF(Tabela3[Mercadoria],Tabela1[[#This Row],[Produto]],Tabela3[Quantidade])</f>
        <v>100</v>
      </c>
      <c r="F16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</v>
      </c>
      <c r="G16" s="1">
        <f>Tabela1[[#This Row],[Qtd inicial]]+Tabela1[[#This Row],[Qtd Comprada]]-Tabela1[[#This Row],[Qtd Vendida]]</f>
        <v>131</v>
      </c>
      <c r="H16" s="1" t="str">
        <f>IF(Tabela1[[#This Row],[Qtd Atual]]&lt;50,IF(Tabela1[[#This Row],[Qtd Atual]]&lt;21,"Comprar","Atenção"),"OK")</f>
        <v>OK</v>
      </c>
    </row>
    <row r="17" spans="2:8" x14ac:dyDescent="0.25">
      <c r="B17" s="11" t="s">
        <v>23</v>
      </c>
      <c r="C17" s="10">
        <f>IFERROR(INDEX(Tabela3[],MATCH(B17,Tabela3[Mercadoria],0),1),"")</f>
        <v>44698</v>
      </c>
      <c r="D17" s="1">
        <v>5</v>
      </c>
      <c r="E17" s="1">
        <v>50</v>
      </c>
      <c r="F17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4</v>
      </c>
      <c r="G17" s="1">
        <f>Tabela1[[#This Row],[Qtd inicial]]+Tabela1[[#This Row],[Qtd Comprada]]-Tabela1[[#This Row],[Qtd Vendida]]</f>
        <v>51</v>
      </c>
      <c r="H17" s="1" t="str">
        <f>IF(Tabela1[[#This Row],[Qtd Atual]]&lt;50,IF(Tabela1[[#This Row],[Qtd Atual]]&lt;21,"Comprar","Atenção"),"OK")</f>
        <v>OK</v>
      </c>
    </row>
    <row r="18" spans="2:8" x14ac:dyDescent="0.25">
      <c r="B18" s="11" t="s">
        <v>66</v>
      </c>
      <c r="C18" s="10">
        <f>IFERROR(INDEX(Tabela3[],MATCH(B18,Tabela3[Mercadoria],0),1),"")</f>
        <v>44699</v>
      </c>
      <c r="D18" s="1">
        <v>6</v>
      </c>
      <c r="E18" s="1">
        <v>100</v>
      </c>
      <c r="F18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5</v>
      </c>
      <c r="G18" s="1">
        <f>Tabela1[[#This Row],[Qtd inicial]]+Tabela1[[#This Row],[Qtd Comprada]]-Tabela1[[#This Row],[Qtd Vendida]]</f>
        <v>101</v>
      </c>
      <c r="H18" s="1" t="str">
        <f>IF(Tabela1[[#This Row],[Qtd Atual]]&lt;50,IF(Tabela1[[#This Row],[Qtd Atual]]&lt;21,"Comprar","Atenção"),"OK")</f>
        <v>OK</v>
      </c>
    </row>
    <row r="19" spans="2:8" x14ac:dyDescent="0.25">
      <c r="B19" s="11" t="s">
        <v>24</v>
      </c>
      <c r="C19" s="10">
        <f>IFERROR(INDEX(Tabela3[],MATCH(B19,Tabela3[Mercadoria],0),1),"")</f>
        <v>44700</v>
      </c>
      <c r="D19" s="1">
        <v>8</v>
      </c>
      <c r="E19" s="1">
        <f>SUMIF(Tabela3[Mercadoria],Tabela1[[#This Row],[Produto]],Tabela3[Quantidade])</f>
        <v>300</v>
      </c>
      <c r="F19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4</v>
      </c>
      <c r="G19" s="1">
        <f>Tabela1[[#This Row],[Qtd inicial]]+Tabela1[[#This Row],[Qtd Comprada]]-Tabela1[[#This Row],[Qtd Vendida]]</f>
        <v>304</v>
      </c>
      <c r="H19" s="1" t="str">
        <f>IF(Tabela1[[#This Row],[Qtd Atual]]&lt;50,IF(Tabela1[[#This Row],[Qtd Atual]]&lt;21,"Comprar","Atenção"),"OK")</f>
        <v>OK</v>
      </c>
    </row>
    <row r="20" spans="2:8" x14ac:dyDescent="0.25">
      <c r="B20" s="11" t="s">
        <v>25</v>
      </c>
      <c r="C20" s="10">
        <f>IFERROR(INDEX(Tabela3[],MATCH(B20,Tabela3[Mercadoria],0),1),"")</f>
        <v>44701</v>
      </c>
      <c r="D20" s="1">
        <v>4</v>
      </c>
      <c r="E20" s="1">
        <f>SUMIF(Tabela3[Mercadoria],Tabela1[[#This Row],[Produto]],Tabela3[Quantidade])</f>
        <v>100</v>
      </c>
      <c r="F20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1.5</v>
      </c>
      <c r="G20" s="1">
        <f>Tabela1[[#This Row],[Qtd inicial]]+Tabela1[[#This Row],[Qtd Comprada]]-Tabela1[[#This Row],[Qtd Vendida]]</f>
        <v>102.5</v>
      </c>
      <c r="H20" s="1" t="str">
        <f>IF(Tabela1[[#This Row],[Qtd Atual]]&lt;50,IF(Tabela1[[#This Row],[Qtd Atual]]&lt;21,"Comprar","Atenção"),"OK")</f>
        <v>OK</v>
      </c>
    </row>
    <row r="21" spans="2:8" x14ac:dyDescent="0.25">
      <c r="B21" s="11" t="s">
        <v>27</v>
      </c>
      <c r="C21" s="10">
        <f>IFERROR(INDEX(Tabela3[],MATCH(B21,Tabela3[Mercadoria],0),1),"")</f>
        <v>44702</v>
      </c>
      <c r="D21" s="1">
        <v>5</v>
      </c>
      <c r="E21" s="1">
        <f>SUMIF(Tabela3[Mercadoria],Tabela1[[#This Row],[Produto]],Tabela3[Quantidade])</f>
        <v>100</v>
      </c>
      <c r="F21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11</v>
      </c>
      <c r="G21" s="1">
        <f>Tabela1[[#This Row],[Qtd inicial]]+Tabela1[[#This Row],[Qtd Comprada]]-Tabela1[[#This Row],[Qtd Vendida]]</f>
        <v>94</v>
      </c>
      <c r="H21" s="1" t="str">
        <f>IF(Tabela1[[#This Row],[Qtd Atual]]&lt;50,IF(Tabela1[[#This Row],[Qtd Atual]]&lt;21,"Comprar","Atenção"),"OK")</f>
        <v>OK</v>
      </c>
    </row>
    <row r="22" spans="2:8" x14ac:dyDescent="0.25">
      <c r="B22" s="11" t="s">
        <v>20</v>
      </c>
      <c r="C22" s="10">
        <f>IFERROR(INDEX(Tabela3[],MATCH(B22,Tabela3[Mercadoria],0),1),"")</f>
        <v>44703</v>
      </c>
      <c r="D22" s="1">
        <v>7</v>
      </c>
      <c r="E22" s="1">
        <f>SUMIF(Tabela3[Mercadoria],Tabela1[[#This Row],[Produto]],Tabela3[Quantidade])</f>
        <v>60</v>
      </c>
      <c r="F22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2</v>
      </c>
      <c r="G22" s="1">
        <f>Tabela1[[#This Row],[Qtd inicial]]+Tabela1[[#This Row],[Qtd Comprada]]-Tabela1[[#This Row],[Qtd Vendida]]</f>
        <v>65</v>
      </c>
      <c r="H22" s="1" t="str">
        <f>IF(Tabela1[[#This Row],[Qtd Atual]]&lt;50,IF(Tabela1[[#This Row],[Qtd Atual]]&lt;21,"Comprar","Atenção"),"OK")</f>
        <v>OK</v>
      </c>
    </row>
    <row r="23" spans="2:8" x14ac:dyDescent="0.25">
      <c r="B23" s="11" t="s">
        <v>29</v>
      </c>
      <c r="C23" s="10">
        <f>IFERROR(INDEX(Tabela3[],MATCH(B23,Tabela3[Mercadoria],0),1),"")</f>
        <v>44704</v>
      </c>
      <c r="D23" s="1">
        <v>2</v>
      </c>
      <c r="E23" s="1">
        <f>SUMIF(Tabela3[Mercadoria],Tabela1[[#This Row],[Produto]],Tabela3[Quantidade])</f>
        <v>200</v>
      </c>
      <c r="F23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0</v>
      </c>
      <c r="G23" s="1">
        <f>Tabela1[[#This Row],[Qtd inicial]]+Tabela1[[#This Row],[Qtd Comprada]]-Tabela1[[#This Row],[Qtd Vendida]]</f>
        <v>202</v>
      </c>
      <c r="H23" s="1" t="str">
        <f>IF(Tabela1[[#This Row],[Qtd Atual]]&lt;50,IF(Tabela1[[#This Row],[Qtd Atual]]&lt;21,"Comprar","Atenção"),"OK")</f>
        <v>OK</v>
      </c>
    </row>
    <row r="24" spans="2:8" x14ac:dyDescent="0.25">
      <c r="B24" s="11" t="s">
        <v>26</v>
      </c>
      <c r="C24" s="10">
        <f>IFERROR(INDEX(Tabela3[],MATCH(B24,Tabela3[Mercadoria],0),1),"")</f>
        <v>44705</v>
      </c>
      <c r="D24" s="1">
        <v>8</v>
      </c>
      <c r="E24" s="1">
        <f>SUMIF(Tabela3[Mercadoria],Tabela1[[#This Row],[Produto]],Tabela3[Quantidade])</f>
        <v>300</v>
      </c>
      <c r="F24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10</v>
      </c>
      <c r="G24" s="1">
        <f>Tabela1[[#This Row],[Qtd inicial]]+Tabela1[[#This Row],[Qtd Comprada]]-Tabela1[[#This Row],[Qtd Vendida]]</f>
        <v>298</v>
      </c>
      <c r="H24" s="1" t="str">
        <f>IF(Tabela1[[#This Row],[Qtd Atual]]&lt;50,IF(Tabela1[[#This Row],[Qtd Atual]]&lt;21,"Comprar","Atenção"),"OK")</f>
        <v>OK</v>
      </c>
    </row>
    <row r="25" spans="2:8" x14ac:dyDescent="0.25">
      <c r="B25" s="13" t="s">
        <v>32</v>
      </c>
      <c r="C25" s="10">
        <f>IFERROR(INDEX(Tabela3[],MATCH(B25,Tabela3[Mercadoria],0),1),"")</f>
        <v>44706</v>
      </c>
      <c r="D25" s="1">
        <v>13</v>
      </c>
      <c r="E25" s="1">
        <f>SUMIF(Tabela3[Mercadoria],Tabela1[[#This Row],[Produto]],Tabela3[Quantidade])</f>
        <v>100</v>
      </c>
      <c r="F25" s="1">
        <f>SUMIF(Tabela5[Produto],Tabela1[[#This Row],[Produto]],Tabela5[Quantidade])+SUMIF(Tabela57[Produto],Tabela1[[#This Row],[Produto]],Tabela57[Quantidade])+SUMIF(Tabela578[Produto],Tabela1[[#This Row],[Produto]],Tabela578[Quantidade])+SUMIF(Tabela5789[Produto],Tabela1[[#This Row],[Produto]],Tabela5789[Quantidade])</f>
        <v>8</v>
      </c>
      <c r="G25" s="1">
        <f>Tabela1[[#This Row],[Qtd inicial]]+Tabela1[[#This Row],[Qtd Comprada]]-Tabela1[[#This Row],[Qtd Vendida]]</f>
        <v>105</v>
      </c>
      <c r="H25" s="1" t="str">
        <f>IF(Tabela1[[#This Row],[Qtd Atual]]&lt;50,IF(Tabela1[[#This Row],[Qtd Atual]]&lt;21,"Comprar","Atenção"),"OK")</f>
        <v>OK</v>
      </c>
    </row>
  </sheetData>
  <mergeCells count="1">
    <mergeCell ref="B2:E2"/>
  </mergeCells>
  <conditionalFormatting sqref="H5:H25">
    <cfRule type="containsText" dxfId="3" priority="1" operator="containsText" text="Atenção">
      <formula>NOT(ISERROR(SEARCH("Atenção",H5)))</formula>
    </cfRule>
    <cfRule type="containsText" dxfId="2" priority="2" operator="containsText" text="Comprar">
      <formula>NOT(ISERROR(SEARCH("Comprar",H5)))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1"/>
  <dimension ref="B2:J27"/>
  <sheetViews>
    <sheetView showGridLines="0" workbookViewId="0"/>
  </sheetViews>
  <sheetFormatPr defaultRowHeight="15" x14ac:dyDescent="0.25"/>
  <cols>
    <col min="2" max="2" width="37.42578125" customWidth="1"/>
    <col min="3" max="3" width="31.5703125" customWidth="1"/>
    <col min="4" max="4" width="26.5703125" customWidth="1"/>
  </cols>
  <sheetData>
    <row r="2" spans="2:10" s="20" customFormat="1" ht="30" customHeight="1" x14ac:dyDescent="0.25">
      <c r="B2" s="52" t="s">
        <v>157</v>
      </c>
      <c r="C2" s="52"/>
      <c r="D2" s="52"/>
      <c r="E2" s="52"/>
      <c r="F2" s="21"/>
      <c r="G2" s="21"/>
      <c r="H2" s="21"/>
      <c r="I2" s="19"/>
      <c r="J2" s="18"/>
    </row>
    <row r="4" spans="2:10" x14ac:dyDescent="0.25">
      <c r="B4" s="45" t="s">
        <v>158</v>
      </c>
      <c r="C4" s="45"/>
      <c r="D4" s="46">
        <f>SUM(D5:D6)</f>
        <v>1848.9111000000003</v>
      </c>
    </row>
    <row r="5" spans="2:10" x14ac:dyDescent="0.25">
      <c r="C5" s="47" t="s">
        <v>166</v>
      </c>
      <c r="D5" s="48">
        <f>Vendas!D10-Vendas!C28</f>
        <v>1801.4111000000003</v>
      </c>
    </row>
    <row r="6" spans="2:10" x14ac:dyDescent="0.25">
      <c r="C6" s="45" t="s">
        <v>167</v>
      </c>
      <c r="D6" s="46">
        <f>Vendas!C28</f>
        <v>47.5</v>
      </c>
    </row>
    <row r="7" spans="2:10" x14ac:dyDescent="0.25">
      <c r="B7" s="45" t="s">
        <v>159</v>
      </c>
      <c r="C7" s="45"/>
      <c r="D7" s="46">
        <f>0.15*D4</f>
        <v>277.33666500000004</v>
      </c>
    </row>
    <row r="9" spans="2:10" ht="15.75" thickBot="1" x14ac:dyDescent="0.3">
      <c r="B9" s="36" t="s">
        <v>7</v>
      </c>
      <c r="C9" s="36"/>
      <c r="D9" s="49">
        <f>D4-D7</f>
        <v>1571.5744350000002</v>
      </c>
    </row>
    <row r="10" spans="2:10" x14ac:dyDescent="0.25">
      <c r="D10" s="4"/>
    </row>
    <row r="11" spans="2:10" x14ac:dyDescent="0.25">
      <c r="B11" s="45" t="s">
        <v>160</v>
      </c>
      <c r="C11" s="45"/>
      <c r="D11" s="46">
        <f>SUM(D12:D13)</f>
        <v>76162.040000000008</v>
      </c>
    </row>
    <row r="12" spans="2:10" x14ac:dyDescent="0.25">
      <c r="C12" s="47" t="s">
        <v>168</v>
      </c>
      <c r="D12" s="48">
        <f>'Compra Mercadorias'!I29</f>
        <v>30855.040000000001</v>
      </c>
    </row>
    <row r="13" spans="2:10" x14ac:dyDescent="0.25">
      <c r="C13" s="45" t="s">
        <v>169</v>
      </c>
      <c r="D13" s="46">
        <f>'Despesas Fixas'!G31</f>
        <v>45307</v>
      </c>
    </row>
    <row r="14" spans="2:10" x14ac:dyDescent="0.25">
      <c r="D14" s="4"/>
    </row>
    <row r="15" spans="2:10" ht="15.75" thickBot="1" x14ac:dyDescent="0.3">
      <c r="B15" s="36" t="s">
        <v>161</v>
      </c>
      <c r="C15" s="36"/>
      <c r="D15" s="49">
        <f>D4-D11</f>
        <v>-74313.128900000011</v>
      </c>
    </row>
    <row r="16" spans="2:10" x14ac:dyDescent="0.25">
      <c r="D16" s="4"/>
    </row>
    <row r="17" spans="2:4" x14ac:dyDescent="0.25">
      <c r="B17" s="45" t="s">
        <v>8</v>
      </c>
      <c r="C17" s="45"/>
      <c r="D17" s="46">
        <f>Investimentos!F24</f>
        <v>484500</v>
      </c>
    </row>
    <row r="18" spans="2:4" x14ac:dyDescent="0.25">
      <c r="D18" s="4"/>
    </row>
    <row r="19" spans="2:4" x14ac:dyDescent="0.25">
      <c r="B19" s="45" t="s">
        <v>162</v>
      </c>
      <c r="C19" s="45"/>
      <c r="D19" s="46">
        <v>400</v>
      </c>
    </row>
    <row r="20" spans="2:4" x14ac:dyDescent="0.25">
      <c r="D20" s="4"/>
    </row>
    <row r="21" spans="2:4" ht="15.75" thickBot="1" x14ac:dyDescent="0.3">
      <c r="B21" s="36" t="s">
        <v>163</v>
      </c>
      <c r="C21" s="36"/>
      <c r="D21" s="49">
        <f>D15-D17-D19</f>
        <v>-559213.12890000001</v>
      </c>
    </row>
    <row r="22" spans="2:4" x14ac:dyDescent="0.25">
      <c r="D22" s="4"/>
    </row>
    <row r="23" spans="2:4" x14ac:dyDescent="0.25">
      <c r="B23" s="45" t="s">
        <v>164</v>
      </c>
      <c r="C23" s="45"/>
      <c r="D23" s="46">
        <f>IF(D21&gt;1000,0.3*D21,0)</f>
        <v>0</v>
      </c>
    </row>
    <row r="24" spans="2:4" x14ac:dyDescent="0.25">
      <c r="D24" s="4"/>
    </row>
    <row r="25" spans="2:4" ht="15.75" thickBot="1" x14ac:dyDescent="0.3">
      <c r="B25" s="36" t="s">
        <v>165</v>
      </c>
      <c r="C25" s="36"/>
      <c r="D25" s="50">
        <f>D21-D23</f>
        <v>-559213.12890000001</v>
      </c>
    </row>
    <row r="26" spans="2:4" x14ac:dyDescent="0.25">
      <c r="D26" s="4"/>
    </row>
    <row r="27" spans="2:4" x14ac:dyDescent="0.25">
      <c r="D27" s="4"/>
    </row>
  </sheetData>
  <mergeCells count="1">
    <mergeCell ref="B2:E2"/>
  </mergeCells>
  <conditionalFormatting sqref="D15 D21 D25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2:Q60"/>
  <sheetViews>
    <sheetView showGridLines="0" workbookViewId="0">
      <selection activeCell="R14" sqref="R14"/>
    </sheetView>
  </sheetViews>
  <sheetFormatPr defaultRowHeight="15" x14ac:dyDescent="0.25"/>
  <cols>
    <col min="2" max="2" width="23.5703125" bestFit="1" customWidth="1"/>
    <col min="3" max="4" width="12.140625" bestFit="1" customWidth="1"/>
  </cols>
  <sheetData>
    <row r="2" spans="2:17" s="20" customFormat="1" ht="30" customHeight="1" x14ac:dyDescent="0.25">
      <c r="B2" s="52" t="s">
        <v>153</v>
      </c>
      <c r="C2" s="52"/>
      <c r="D2" s="52"/>
      <c r="E2" s="52"/>
      <c r="F2" s="21"/>
      <c r="G2" s="21"/>
      <c r="H2" s="21"/>
      <c r="I2" s="19"/>
      <c r="J2" s="18"/>
    </row>
    <row r="3" spans="2:17" ht="15.75" thickBot="1" x14ac:dyDescent="0.3"/>
    <row r="4" spans="2:17" ht="26.25" customHeight="1" x14ac:dyDescent="0.25">
      <c r="B4" s="24" t="s">
        <v>6</v>
      </c>
      <c r="C4" s="25"/>
      <c r="D4" s="26" t="s">
        <v>154</v>
      </c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8"/>
    </row>
    <row r="5" spans="2:17" x14ac:dyDescent="0.25">
      <c r="B5" s="29"/>
      <c r="C5" s="30" t="s">
        <v>144</v>
      </c>
      <c r="D5" s="31">
        <f>'Semana 1'!N13</f>
        <v>153.89200000000002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3"/>
    </row>
    <row r="6" spans="2:17" x14ac:dyDescent="0.25">
      <c r="B6" s="29"/>
      <c r="C6" s="30" t="s">
        <v>145</v>
      </c>
      <c r="D6" s="31">
        <f>'Semana 2'!M19</f>
        <v>112.59509999999999</v>
      </c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3"/>
    </row>
    <row r="7" spans="2:17" x14ac:dyDescent="0.25">
      <c r="B7" s="29"/>
      <c r="C7" s="30" t="s">
        <v>146</v>
      </c>
      <c r="D7" s="31">
        <f>'Semana 3'!M23</f>
        <v>1124.3490000000002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3"/>
    </row>
    <row r="8" spans="2:17" x14ac:dyDescent="0.25">
      <c r="B8" s="29"/>
      <c r="C8" s="30" t="s">
        <v>147</v>
      </c>
      <c r="D8" s="31">
        <f>'Semana 4'!M16</f>
        <v>458.07499999999999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3"/>
    </row>
    <row r="9" spans="2:17" x14ac:dyDescent="0.25">
      <c r="B9" s="29"/>
      <c r="C9" s="30"/>
      <c r="D9" s="30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3"/>
    </row>
    <row r="10" spans="2:17" x14ac:dyDescent="0.25">
      <c r="B10" s="34" t="s">
        <v>170</v>
      </c>
      <c r="C10" s="30"/>
      <c r="D10" s="31">
        <f>SUM(D5:D9)</f>
        <v>1848.9111000000003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3"/>
    </row>
    <row r="11" spans="2:17" x14ac:dyDescent="0.25">
      <c r="B11" s="29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3"/>
    </row>
    <row r="12" spans="2:17" x14ac:dyDescent="0.25">
      <c r="B12" s="29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3"/>
    </row>
    <row r="13" spans="2:17" x14ac:dyDescent="0.25">
      <c r="B13" s="29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3"/>
    </row>
    <row r="14" spans="2:17" x14ac:dyDescent="0.25">
      <c r="B14" s="29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3"/>
    </row>
    <row r="15" spans="2:17" x14ac:dyDescent="0.25">
      <c r="B15" s="29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3"/>
    </row>
    <row r="16" spans="2:17" x14ac:dyDescent="0.25">
      <c r="B16" s="29"/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3"/>
    </row>
    <row r="17" spans="2:17" x14ac:dyDescent="0.25">
      <c r="B17" s="29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3"/>
    </row>
    <row r="18" spans="2:17" x14ac:dyDescent="0.25">
      <c r="B18" s="29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3"/>
    </row>
    <row r="19" spans="2:17" ht="15.75" thickBot="1" x14ac:dyDescent="0.3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7"/>
    </row>
    <row r="23" spans="2:17" ht="15.75" thickBot="1" x14ac:dyDescent="0.3"/>
    <row r="24" spans="2:17" x14ac:dyDescent="0.25">
      <c r="B24" s="39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8"/>
    </row>
    <row r="25" spans="2:17" x14ac:dyDescent="0.25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3"/>
    </row>
    <row r="26" spans="2:17" x14ac:dyDescent="0.25">
      <c r="B26" s="44" t="s">
        <v>151</v>
      </c>
      <c r="C26" s="41">
        <f>SUM('Semana 1'!N13,'Semana 2'!M19,'Semana 3'!M23,'Semana 4'!M16/SUM('Semana 1'!N15,'Semana 2'!M21,'Semana 3'!M25,'Semana 4'!M18))</f>
        <v>1416.2847111111114</v>
      </c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2:17" x14ac:dyDescent="0.25">
      <c r="B27" s="44" t="s">
        <v>152</v>
      </c>
      <c r="C27" s="42">
        <f>SUM(COUNTIF(Tabela5[Valor Entrega],"&gt;0"),COUNTIF(Tabela57[Valor Entrega],"&gt;0"),COUNTIF(Tabela578[Valor Entrega],"&gt;0"),COUNTIF(Tabela5789[Valor Entrega],"&gt;0"))/SUM('Semana 1'!N15,'Semana 2'!M21,'Semana 3'!M25,'Semana 4'!M18)</f>
        <v>0.44444444444444442</v>
      </c>
      <c r="D27" s="40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3"/>
    </row>
    <row r="28" spans="2:17" x14ac:dyDescent="0.25">
      <c r="B28" s="44" t="s">
        <v>149</v>
      </c>
      <c r="C28" s="43">
        <f>SUM('Semana 1'!N14+'Semana 2'!M20+'Semana 3'!M24+'Semana 4'!M17)</f>
        <v>47.5</v>
      </c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3"/>
    </row>
    <row r="29" spans="2:17" x14ac:dyDescent="0.25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3"/>
    </row>
    <row r="30" spans="2:17" x14ac:dyDescent="0.25">
      <c r="B30" s="29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3"/>
    </row>
    <row r="31" spans="2:17" x14ac:dyDescent="0.25">
      <c r="B31" s="29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3"/>
    </row>
    <row r="32" spans="2:17" x14ac:dyDescent="0.25">
      <c r="B32" s="29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3"/>
    </row>
    <row r="33" spans="2:17" x14ac:dyDescent="0.25">
      <c r="B33" s="29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3"/>
    </row>
    <row r="34" spans="2:17" x14ac:dyDescent="0.25">
      <c r="B34" s="29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3"/>
    </row>
    <row r="35" spans="2:17" x14ac:dyDescent="0.25">
      <c r="B35" s="29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3"/>
    </row>
    <row r="36" spans="2:17" x14ac:dyDescent="0.25">
      <c r="B36" s="29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3"/>
    </row>
    <row r="37" spans="2:17" x14ac:dyDescent="0.25">
      <c r="B37" s="29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3"/>
    </row>
    <row r="38" spans="2:17" x14ac:dyDescent="0.25">
      <c r="B38" s="29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3"/>
    </row>
    <row r="39" spans="2:17" x14ac:dyDescent="0.25">
      <c r="B39" s="29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3"/>
    </row>
    <row r="40" spans="2:17" ht="15.75" thickBot="1" x14ac:dyDescent="0.3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7"/>
    </row>
    <row r="42" spans="2:17" ht="15.75" thickBot="1" x14ac:dyDescent="0.3"/>
    <row r="43" spans="2:17" x14ac:dyDescent="0.25">
      <c r="B43" s="39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8"/>
    </row>
    <row r="44" spans="2:17" x14ac:dyDescent="0.25">
      <c r="B44" s="44" t="s">
        <v>156</v>
      </c>
      <c r="C44" s="30" t="s">
        <v>155</v>
      </c>
      <c r="D44" s="30" t="s">
        <v>60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3"/>
    </row>
    <row r="45" spans="2:17" x14ac:dyDescent="0.25">
      <c r="B45" s="44"/>
      <c r="C45" s="30" t="s">
        <v>132</v>
      </c>
      <c r="D45" s="30">
        <f>COUNTIFS(Tabela5[Entrega],Vendas!C45,Tabela5[Total Cliente],"&gt;0")+COUNTIFS(Tabela57[Entrega],Vendas!C45,Tabela57[Total Cliente],"&gt;0")+COUNTIFS(Tabela578[Entrega],Vendas!C45,Tabela578[Total Cliente],"&gt;0")+COUNTIFS(Tabela5789[Entrega],Vendas!C45,Tabela5789[Total Cliente],"&gt;0")</f>
        <v>10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3"/>
    </row>
    <row r="46" spans="2:17" x14ac:dyDescent="0.25">
      <c r="B46" s="44"/>
      <c r="C46" s="30" t="s">
        <v>131</v>
      </c>
      <c r="D46" s="30">
        <f>COUNTIFS(Tabela5[Entrega],Vendas!C46,Tabela5[Total Cliente],"&gt;0")+COUNTIFS(Tabela57[Entrega],Vendas!C46,Tabela57[Total Cliente],"&gt;0")+COUNTIFS(Tabela578[Entrega],Vendas!C46,Tabela578[Total Cliente],"&gt;0")+COUNTIFS(Tabela5789[Entrega],Vendas!C46,Tabela5789[Total Cliente],"&gt;0")</f>
        <v>4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3"/>
    </row>
    <row r="47" spans="2:17" x14ac:dyDescent="0.25">
      <c r="B47" s="44"/>
      <c r="C47" s="30" t="s">
        <v>133</v>
      </c>
      <c r="D47" s="30">
        <f>COUNTIFS(Tabela5[Entrega],Vendas!C47,Tabela5[Total Cliente],"&gt;0")+COUNTIFS(Tabela57[Entrega],Vendas!C47,Tabela57[Total Cliente],"&gt;0")+COUNTIFS(Tabela578[Entrega],Vendas!C47,Tabela578[Total Cliente],"&gt;0")+COUNTIFS(Tabela5789[Entrega],Vendas!C47,Tabela5789[Total Cliente],"&gt;0")</f>
        <v>0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3"/>
    </row>
    <row r="48" spans="2:17" x14ac:dyDescent="0.25">
      <c r="B48" s="44"/>
      <c r="C48" s="30" t="s">
        <v>134</v>
      </c>
      <c r="D48" s="30">
        <f>COUNTIFS(Tabela5[Entrega],Vendas!C48,Tabela5[Total Cliente],"&gt;0")+COUNTIFS(Tabela57[Entrega],Vendas!C48,Tabela57[Total Cliente],"&gt;0")+COUNTIFS(Tabela578[Entrega],Vendas!C48,Tabela578[Total Cliente],"&gt;0")+COUNTIFS(Tabela5789[Entrega],Vendas!C48,Tabela5789[Total Cliente],"&gt;0")</f>
        <v>1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3"/>
    </row>
    <row r="49" spans="2:17" x14ac:dyDescent="0.25">
      <c r="B49" s="44"/>
      <c r="C49" s="30" t="s">
        <v>135</v>
      </c>
      <c r="D49" s="30">
        <f>COUNTIFS(Tabela5[Entrega],Vendas!C49,Tabela5[Total Cliente],"&gt;0")+COUNTIFS(Tabela57[Entrega],Vendas!C49,Tabela57[Total Cliente],"&gt;0")+COUNTIFS(Tabela578[Entrega],Vendas!C49,Tabela578[Total Cliente],"&gt;0")+COUNTIFS(Tabela5789[Entrega],Vendas!C49,Tabela5789[Total Cliente],"&gt;0")</f>
        <v>3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3"/>
    </row>
    <row r="50" spans="2:17" x14ac:dyDescent="0.25">
      <c r="B50" s="29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3"/>
    </row>
    <row r="51" spans="2:17" x14ac:dyDescent="0.25">
      <c r="B51" s="29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3"/>
    </row>
    <row r="52" spans="2:17" x14ac:dyDescent="0.25">
      <c r="B52" s="29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3"/>
    </row>
    <row r="53" spans="2:17" x14ac:dyDescent="0.25">
      <c r="B53" s="29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3"/>
    </row>
    <row r="54" spans="2:17" x14ac:dyDescent="0.25">
      <c r="B54" s="29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3"/>
    </row>
    <row r="55" spans="2:17" x14ac:dyDescent="0.25">
      <c r="B55" s="29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3"/>
    </row>
    <row r="56" spans="2:17" x14ac:dyDescent="0.25">
      <c r="B56" s="29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3"/>
    </row>
    <row r="57" spans="2:17" x14ac:dyDescent="0.25">
      <c r="B57" s="29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3"/>
    </row>
    <row r="58" spans="2:17" x14ac:dyDescent="0.25">
      <c r="B58" s="29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3"/>
    </row>
    <row r="59" spans="2:17" x14ac:dyDescent="0.25">
      <c r="B59" s="29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3"/>
    </row>
    <row r="60" spans="2:17" ht="15.75" thickBot="1" x14ac:dyDescent="0.3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7"/>
    </row>
  </sheetData>
  <mergeCells count="1">
    <mergeCell ref="B2:E2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C2:N17"/>
  <sheetViews>
    <sheetView showGridLines="0" workbookViewId="0">
      <selection activeCell="A14" sqref="A14"/>
    </sheetView>
  </sheetViews>
  <sheetFormatPr defaultRowHeight="15" x14ac:dyDescent="0.25"/>
  <cols>
    <col min="2" max="2" width="16.7109375" customWidth="1"/>
    <col min="3" max="3" width="11.85546875" customWidth="1"/>
    <col min="4" max="4" width="10.7109375" bestFit="1" customWidth="1"/>
    <col min="5" max="5" width="14.5703125" bestFit="1" customWidth="1"/>
    <col min="6" max="6" width="9.85546875" customWidth="1"/>
    <col min="7" max="7" width="13.5703125" customWidth="1"/>
    <col min="8" max="8" width="15.42578125" customWidth="1"/>
    <col min="9" max="9" width="10.5703125" customWidth="1"/>
    <col min="10" max="10" width="11.42578125" customWidth="1"/>
    <col min="11" max="11" width="12.42578125" bestFit="1" customWidth="1"/>
    <col min="12" max="12" width="15" customWidth="1"/>
    <col min="13" max="13" width="14.85546875" customWidth="1"/>
    <col min="14" max="14" width="14.5703125" bestFit="1" customWidth="1"/>
  </cols>
  <sheetData>
    <row r="2" spans="3:14" s="20" customFormat="1" ht="30" customHeight="1" x14ac:dyDescent="0.25">
      <c r="C2" s="61" t="s">
        <v>122</v>
      </c>
      <c r="D2" s="61"/>
      <c r="E2" s="61"/>
      <c r="F2" s="61"/>
      <c r="G2" s="21"/>
      <c r="H2" s="21"/>
      <c r="I2" s="21"/>
      <c r="J2" s="19"/>
      <c r="K2" s="18"/>
    </row>
    <row r="4" spans="3:14" x14ac:dyDescent="0.25">
      <c r="C4" t="s">
        <v>123</v>
      </c>
      <c r="D4" t="s">
        <v>42</v>
      </c>
      <c r="E4" t="s">
        <v>115</v>
      </c>
      <c r="F4" t="s">
        <v>59</v>
      </c>
      <c r="G4" t="s">
        <v>60</v>
      </c>
      <c r="H4" t="s">
        <v>124</v>
      </c>
      <c r="I4" t="s">
        <v>125</v>
      </c>
      <c r="J4" t="s">
        <v>62</v>
      </c>
      <c r="K4" t="s">
        <v>126</v>
      </c>
      <c r="L4" t="s">
        <v>127</v>
      </c>
      <c r="M4" t="s">
        <v>128</v>
      </c>
      <c r="N4" t="s">
        <v>136</v>
      </c>
    </row>
    <row r="5" spans="3:14" x14ac:dyDescent="0.25">
      <c r="C5">
        <v>5</v>
      </c>
      <c r="D5" s="10">
        <v>44704</v>
      </c>
      <c r="E5" t="s">
        <v>32</v>
      </c>
      <c r="F5" s="54" t="str">
        <f>IFERROR(VLOOKUP(Tabela5[[#This Row],[Produto]],Cálculos!$H$1:K22,4,0),"")</f>
        <v>Unidade</v>
      </c>
      <c r="G5">
        <v>2</v>
      </c>
      <c r="H5" s="22">
        <f>IFERROR(VLOOKUP(Tabela5[[#This Row],[Produto]],Cálculos!$H$1:K22,3,0),0)</f>
        <v>54.9</v>
      </c>
      <c r="I5" s="22">
        <f>Tabela5[[#This Row],[Quantidade]]*Tabela5[[#This Row],[Valor Unitário]]</f>
        <v>109.8</v>
      </c>
      <c r="J5" s="8">
        <v>0.13</v>
      </c>
      <c r="K5" s="4"/>
      <c r="L5" s="22">
        <f>IFERROR(VLOOKUP(Tabela5[[#This Row],[Entrega]],Cálculos!$B$1:$C$6,2,0),0)</f>
        <v>0</v>
      </c>
      <c r="M5" s="22">
        <f>Tabela5[[#This Row],[Subtotal]]*(1-Tabela5[[#This Row],[Desconto]])+Tabela5[[#This Row],[Valor Entrega]]</f>
        <v>95.525999999999996</v>
      </c>
      <c r="N5" s="22"/>
    </row>
    <row r="6" spans="3:14" x14ac:dyDescent="0.25">
      <c r="C6">
        <v>5</v>
      </c>
      <c r="D6" s="10">
        <v>44704</v>
      </c>
      <c r="E6" t="s">
        <v>66</v>
      </c>
      <c r="F6" s="54" t="str">
        <f>IFERROR(VLOOKUP(Tabela5[[#This Row],[Produto]],Cálculos!$H$1:K22,4,0),"")</f>
        <v>Unidade</v>
      </c>
      <c r="G6">
        <v>2</v>
      </c>
      <c r="H6" s="22">
        <f>IFERROR(VLOOKUP(Tabela5[[#This Row],[Produto]],Cálculos!$H$1:K22,3,0),0)</f>
        <v>3.99</v>
      </c>
      <c r="I6" s="22">
        <f>Tabela5[[#This Row],[Quantidade]]*Tabela5[[#This Row],[Valor Unitário]]</f>
        <v>7.98</v>
      </c>
      <c r="J6" s="8">
        <v>0</v>
      </c>
      <c r="K6" s="4"/>
      <c r="L6" s="22">
        <f>IFERROR(VLOOKUP(Tabela5[[#This Row],[Entrega]],Cálculos!$B$1:$C$6,2,0),0)</f>
        <v>0</v>
      </c>
      <c r="M6" s="22">
        <f>Tabela5[[#This Row],[Subtotal]]*(1-Tabela5[[#This Row],[Desconto]])+Tabela5[[#This Row],[Valor Entrega]]</f>
        <v>7.98</v>
      </c>
      <c r="N6" s="22"/>
    </row>
    <row r="7" spans="3:14" x14ac:dyDescent="0.25">
      <c r="C7">
        <v>5</v>
      </c>
      <c r="D7" s="10">
        <v>44704</v>
      </c>
      <c r="E7" t="s">
        <v>31</v>
      </c>
      <c r="F7" s="54" t="str">
        <f>IFERROR(VLOOKUP(Tabela5[[#This Row],[Produto]],Cálculos!$H$1:K22,4,0),"")</f>
        <v>Unidade</v>
      </c>
      <c r="G7">
        <v>12</v>
      </c>
      <c r="H7" s="22">
        <f>IFERROR(VLOOKUP(Tabela5[[#This Row],[Produto]],Cálculos!$H$1:K22,3,0),0)</f>
        <v>2.19</v>
      </c>
      <c r="I7" s="22">
        <f>Tabela5[[#This Row],[Quantidade]]*Tabela5[[#This Row],[Valor Unitário]]</f>
        <v>26.28</v>
      </c>
      <c r="J7" s="8">
        <v>0.05</v>
      </c>
      <c r="K7" s="4" t="s">
        <v>134</v>
      </c>
      <c r="L7" s="22">
        <f>IFERROR(VLOOKUP(Tabela5[[#This Row],[Entrega]],Cálculos!$B$1:$C$6,2,0),0)</f>
        <v>8</v>
      </c>
      <c r="M7" s="22">
        <f>Tabela5[[#This Row],[Subtotal]]*(1-Tabela5[[#This Row],[Desconto]])+Tabela5[[#This Row],[Valor Entrega]]</f>
        <v>32.966000000000001</v>
      </c>
      <c r="N7" s="22">
        <f>IF(Tabela5[[#This Row],[ID Cliente]]=C4,"",SUMIF(Tabela5[ID Cliente],Tabela5[[#This Row],[ID Cliente]],Tabela5[Total]))</f>
        <v>136.47200000000001</v>
      </c>
    </row>
    <row r="8" spans="3:14" x14ac:dyDescent="0.25">
      <c r="C8">
        <v>4</v>
      </c>
      <c r="D8" s="10">
        <v>44704</v>
      </c>
      <c r="E8" t="s">
        <v>21</v>
      </c>
      <c r="F8" s="54" t="str">
        <f>IFERROR(VLOOKUP(Tabela5[[#This Row],[Produto]],Cálculos!$H$1:K22,4,0),"")</f>
        <v>Unidade</v>
      </c>
      <c r="G8">
        <v>3</v>
      </c>
      <c r="H8" s="22">
        <f>IFERROR(VLOOKUP(Tabela5[[#This Row],[Produto]],Cálculos!$H$1:K22,3,0),0)</f>
        <v>2.99</v>
      </c>
      <c r="I8" s="22">
        <f>Tabela5[[#This Row],[Quantidade]]*Tabela5[[#This Row],[Valor Unitário]]</f>
        <v>8.9700000000000006</v>
      </c>
      <c r="J8" s="8">
        <v>0</v>
      </c>
      <c r="K8" s="4" t="s">
        <v>131</v>
      </c>
      <c r="L8" s="22">
        <f>IFERROR(VLOOKUP(Tabela5[[#This Row],[Entrega]],Cálculos!$B$1:$C$6,2,0),0)</f>
        <v>5</v>
      </c>
      <c r="M8" s="22">
        <f>Tabela5[[#This Row],[Subtotal]]*(1-Tabela5[[#This Row],[Desconto]])+Tabela5[[#This Row],[Valor Entrega]]</f>
        <v>13.97</v>
      </c>
      <c r="N8" s="22">
        <f>IF(Tabela5[[#This Row],[ID Cliente]]=C4,"",SUMIF(Tabela5[ID Cliente],Tabela5[[#This Row],[ID Cliente]],Tabela5[Total]))</f>
        <v>13.97</v>
      </c>
    </row>
    <row r="9" spans="3:14" x14ac:dyDescent="0.25">
      <c r="C9">
        <v>3</v>
      </c>
      <c r="D9" s="23">
        <v>44696</v>
      </c>
      <c r="E9" t="s">
        <v>38</v>
      </c>
      <c r="F9" t="str">
        <f>IFERROR(VLOOKUP(Tabela5[[#This Row],[Produto]],Cálculos!$H$1:K24,4,0),"")</f>
        <v>Unidade</v>
      </c>
      <c r="G9">
        <v>2</v>
      </c>
      <c r="H9" s="4">
        <f>IFERROR(VLOOKUP(Tabela5[[#This Row],[Produto]],Cálculos!$H$1:K24,3,0),0)</f>
        <v>1.1499999999999999</v>
      </c>
      <c r="I9" s="4">
        <f>Tabela5[[#This Row],[Quantidade]]*Tabela5[[#This Row],[Valor Unitário]]</f>
        <v>2.2999999999999998</v>
      </c>
      <c r="J9" s="8">
        <v>0</v>
      </c>
      <c r="K9" s="4" t="s">
        <v>132</v>
      </c>
      <c r="L9" s="4">
        <f>IFERROR(VLOOKUP(Tabela5[[#This Row],[Entrega]],Cálculos!$B$1:$C$6,2,0),0)</f>
        <v>0</v>
      </c>
      <c r="M9" s="4">
        <f>Tabela5[[#This Row],[Subtotal]]*(1-Tabela5[[#This Row],[Desconto]])+Tabela5[[#This Row],[Valor Entrega]]</f>
        <v>2.2999999999999998</v>
      </c>
      <c r="N9" s="22" t="str">
        <f>IF(Tabela5[[#This Row],[ID Cliente]]=C10,"",SUMIF(Tabela5[ID Cliente],Tabela5[[#This Row],[ID Cliente]],Tabela5[Total]))</f>
        <v/>
      </c>
    </row>
    <row r="10" spans="3:14" x14ac:dyDescent="0.25">
      <c r="C10">
        <v>3</v>
      </c>
      <c r="D10" s="23">
        <v>44696</v>
      </c>
      <c r="E10" t="s">
        <v>30</v>
      </c>
      <c r="F10" t="str">
        <f>IFERROR(VLOOKUP(Tabela5[[#This Row],[Produto]],Cálculos!$H$1:K25,4,0),"")</f>
        <v>Pacote</v>
      </c>
      <c r="G10">
        <v>1</v>
      </c>
      <c r="H10" s="4">
        <f>IFERROR(VLOOKUP(Tabela5[[#This Row],[Produto]],Cálculos!$H$1:K25,3,0),0)</f>
        <v>1.1499999999999999</v>
      </c>
      <c r="I10" s="4">
        <f>Tabela5[[#This Row],[Quantidade]]*Tabela5[[#This Row],[Valor Unitário]]</f>
        <v>1.1499999999999999</v>
      </c>
      <c r="J10" s="8">
        <v>0</v>
      </c>
      <c r="K10" s="4" t="s">
        <v>132</v>
      </c>
      <c r="L10" s="4">
        <f>IFERROR(VLOOKUP(Tabela5[[#This Row],[Entrega]],Cálculos!$B$1:$C$6,2,0),0)</f>
        <v>0</v>
      </c>
      <c r="M10" s="4">
        <f>Tabela5[[#This Row],[Subtotal]]*(1-Tabela5[[#This Row],[Desconto]])+Tabela5[[#This Row],[Valor Entrega]]</f>
        <v>1.1499999999999999</v>
      </c>
      <c r="N10" s="22">
        <f>IF(Tabela5[[#This Row],[ID Cliente]]=C11,"",SUMIF(Tabela5[ID Cliente],Tabela5[[#This Row],[ID Cliente]],Tabela5[Total]))</f>
        <v>3.4499999999999997</v>
      </c>
    </row>
    <row r="11" spans="3:14" x14ac:dyDescent="0.25">
      <c r="F11" t="str">
        <f>IFERROR(VLOOKUP(Tabela5[[#This Row],[Produto]],Cálculos!$H$1:K26,4,0),"")</f>
        <v/>
      </c>
      <c r="H11" s="4">
        <f>IFERROR(VLOOKUP(Tabela5[[#This Row],[Produto]],Cálculos!$H$1:K26,3,0),0)</f>
        <v>0</v>
      </c>
      <c r="I11" s="4">
        <f>Tabela5[[#This Row],[Quantidade]]*Tabela5[[#This Row],[Valor Unitário]]</f>
        <v>0</v>
      </c>
      <c r="J11" s="8"/>
      <c r="K11" s="4"/>
      <c r="L11" s="4">
        <f>IFERROR(VLOOKUP(Tabela5[[#This Row],[Entrega]],Cálculos!$B$1:$C$6,2,0),0)</f>
        <v>0</v>
      </c>
      <c r="M11" s="4">
        <f>Tabela5[[#This Row],[Subtotal]]*(1-Tabela5[[#This Row],[Desconto]])+Tabela5[[#This Row],[Valor Entrega]]</f>
        <v>0</v>
      </c>
      <c r="N11" s="22" t="str">
        <f>IF(Tabela5[[#This Row],[ID Cliente]]=C12,"",SUMIF(Tabela5[ID Cliente],Tabela5[[#This Row],[ID Cliente]],Tabela5[Total]))</f>
        <v/>
      </c>
    </row>
    <row r="13" spans="3:14" ht="18.75" x14ac:dyDescent="0.3">
      <c r="C13" s="6" t="s">
        <v>137</v>
      </c>
      <c r="D13" s="6"/>
      <c r="E13" s="6"/>
      <c r="F13" s="6"/>
      <c r="N13" s="7">
        <f>SUM(Tabela5[Total])</f>
        <v>153.89200000000002</v>
      </c>
    </row>
    <row r="14" spans="3:14" ht="18.75" x14ac:dyDescent="0.3">
      <c r="C14" s="6" t="s">
        <v>138</v>
      </c>
      <c r="N14" s="7">
        <f>SUM(Tabela5[Valor Entrega])</f>
        <v>13</v>
      </c>
    </row>
    <row r="15" spans="3:14" ht="18.75" x14ac:dyDescent="0.3">
      <c r="C15" s="6" t="s">
        <v>150</v>
      </c>
      <c r="N15" s="7">
        <f>SUM(IF(FREQUENCY(C5:C11,C5:C11)&gt;0,1,0))</f>
        <v>3</v>
      </c>
    </row>
    <row r="17" spans="12:12" x14ac:dyDescent="0.25">
      <c r="L17" s="8"/>
    </row>
  </sheetData>
  <mergeCells count="1">
    <mergeCell ref="C2:F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Cálculos!$H$2:$H$28</xm:f>
          </x14:formula1>
          <xm:sqref>E5:E11</xm:sqref>
        </x14:dataValidation>
        <x14:dataValidation type="list" allowBlank="1" showInputMessage="1" showErrorMessage="1">
          <x14:formula1>
            <xm:f>Cálculos!$B$2:$B$6</xm:f>
          </x14:formula1>
          <xm:sqref>K5:K11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F17"/>
  <sheetViews>
    <sheetView showGridLines="0" workbookViewId="0">
      <selection activeCell="K3" sqref="K3"/>
    </sheetView>
  </sheetViews>
  <sheetFormatPr defaultRowHeight="15" x14ac:dyDescent="0.25"/>
  <cols>
    <col min="3" max="3" width="18" bestFit="1" customWidth="1"/>
    <col min="4" max="4" width="24" bestFit="1" customWidth="1"/>
    <col min="5" max="5" width="13.5703125" bestFit="1" customWidth="1"/>
    <col min="6" max="6" width="14" bestFit="1" customWidth="1"/>
    <col min="7" max="7" width="18" customWidth="1"/>
    <col min="8" max="8" width="24" customWidth="1"/>
    <col min="9" max="9" width="21.140625" customWidth="1"/>
    <col min="10" max="11" width="13.5703125" customWidth="1"/>
    <col min="12" max="12" width="14.5703125" customWidth="1"/>
    <col min="13" max="13" width="21.140625" customWidth="1"/>
    <col min="14" max="14" width="20" customWidth="1"/>
    <col min="15" max="15" width="21" bestFit="1" customWidth="1"/>
    <col min="16" max="16" width="27.7109375" bestFit="1" customWidth="1"/>
  </cols>
  <sheetData>
    <row r="5" spans="3:6" x14ac:dyDescent="0.25">
      <c r="C5" s="56" t="s">
        <v>42</v>
      </c>
      <c r="D5" s="57" t="s">
        <v>173</v>
      </c>
      <c r="E5" s="57" t="s">
        <v>172</v>
      </c>
    </row>
    <row r="6" spans="3:6" x14ac:dyDescent="0.25">
      <c r="C6" s="60">
        <v>44696</v>
      </c>
      <c r="D6" s="58">
        <v>2</v>
      </c>
      <c r="E6" s="59">
        <v>3.4499999999999997</v>
      </c>
    </row>
    <row r="7" spans="3:6" x14ac:dyDescent="0.25">
      <c r="C7" s="60">
        <v>44704</v>
      </c>
      <c r="D7" s="58">
        <v>4</v>
      </c>
      <c r="E7" s="59">
        <v>150.44200000000001</v>
      </c>
    </row>
    <row r="8" spans="3:6" x14ac:dyDescent="0.25">
      <c r="C8" s="57" t="s">
        <v>171</v>
      </c>
      <c r="D8" s="58">
        <v>6</v>
      </c>
      <c r="E8" s="59">
        <v>153.892</v>
      </c>
    </row>
    <row r="13" spans="3:6" x14ac:dyDescent="0.25">
      <c r="C13" s="56" t="s">
        <v>65</v>
      </c>
      <c r="D13" s="57" t="s">
        <v>174</v>
      </c>
      <c r="E13" s="57" t="s">
        <v>175</v>
      </c>
      <c r="F13" s="57" t="s">
        <v>176</v>
      </c>
    </row>
    <row r="14" spans="3:6" x14ac:dyDescent="0.25">
      <c r="C14" s="57" t="s">
        <v>131</v>
      </c>
      <c r="D14" s="58">
        <v>1</v>
      </c>
      <c r="E14" s="59">
        <v>5</v>
      </c>
      <c r="F14" s="59">
        <v>13.97</v>
      </c>
    </row>
    <row r="15" spans="3:6" x14ac:dyDescent="0.25">
      <c r="C15" s="57" t="s">
        <v>132</v>
      </c>
      <c r="D15" s="58">
        <v>2</v>
      </c>
      <c r="E15" s="59">
        <v>0</v>
      </c>
      <c r="F15" s="59">
        <v>3.4499999999999997</v>
      </c>
    </row>
    <row r="16" spans="3:6" x14ac:dyDescent="0.25">
      <c r="C16" s="57" t="s">
        <v>134</v>
      </c>
      <c r="D16" s="58">
        <v>1</v>
      </c>
      <c r="E16" s="59">
        <v>8</v>
      </c>
      <c r="F16" s="59">
        <v>32.966000000000001</v>
      </c>
    </row>
    <row r="17" spans="3:6" x14ac:dyDescent="0.25">
      <c r="C17" s="57" t="s">
        <v>171</v>
      </c>
      <c r="D17" s="58">
        <v>4</v>
      </c>
      <c r="E17" s="59">
        <v>13</v>
      </c>
      <c r="F17" s="59">
        <v>50.386000000000003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B2:M23"/>
  <sheetViews>
    <sheetView showGridLines="0" workbookViewId="0">
      <selection activeCell="A12" sqref="A12"/>
    </sheetView>
  </sheetViews>
  <sheetFormatPr defaultRowHeight="15" x14ac:dyDescent="0.25"/>
  <cols>
    <col min="1" max="1" width="27.28515625" customWidth="1"/>
    <col min="2" max="2" width="11.85546875" customWidth="1"/>
    <col min="3" max="3" width="10.7109375" bestFit="1" customWidth="1"/>
    <col min="4" max="4" width="14.5703125" bestFit="1" customWidth="1"/>
    <col min="5" max="5" width="9.85546875" customWidth="1"/>
    <col min="6" max="6" width="13.5703125" customWidth="1"/>
    <col min="7" max="7" width="15.42578125" customWidth="1"/>
    <col min="8" max="8" width="10.5703125" customWidth="1"/>
    <col min="9" max="9" width="11.42578125" customWidth="1"/>
    <col min="10" max="10" width="9.85546875" customWidth="1"/>
    <col min="11" max="11" width="15" customWidth="1"/>
    <col min="12" max="12" width="14.85546875" customWidth="1"/>
    <col min="13" max="13" width="14.5703125" bestFit="1" customWidth="1"/>
  </cols>
  <sheetData>
    <row r="2" spans="2:13" s="20" customFormat="1" ht="30" customHeight="1" x14ac:dyDescent="0.25">
      <c r="B2" s="61" t="s">
        <v>139</v>
      </c>
      <c r="C2" s="61"/>
      <c r="D2" s="61"/>
      <c r="E2" s="61"/>
      <c r="F2" s="21"/>
      <c r="G2" s="21"/>
      <c r="H2" s="21"/>
      <c r="I2" s="19"/>
      <c r="J2" s="18"/>
    </row>
    <row r="4" spans="2:13" x14ac:dyDescent="0.25">
      <c r="B4" t="s">
        <v>123</v>
      </c>
      <c r="C4" t="s">
        <v>42</v>
      </c>
      <c r="D4" t="s">
        <v>115</v>
      </c>
      <c r="E4" t="s">
        <v>59</v>
      </c>
      <c r="F4" t="s">
        <v>60</v>
      </c>
      <c r="G4" t="s">
        <v>124</v>
      </c>
      <c r="H4" t="s">
        <v>125</v>
      </c>
      <c r="I4" t="s">
        <v>62</v>
      </c>
      <c r="J4" t="s">
        <v>126</v>
      </c>
      <c r="K4" t="s">
        <v>127</v>
      </c>
      <c r="L4" t="s">
        <v>128</v>
      </c>
      <c r="M4" t="s">
        <v>136</v>
      </c>
    </row>
    <row r="5" spans="2:13" x14ac:dyDescent="0.25">
      <c r="B5">
        <v>4</v>
      </c>
      <c r="C5" s="10">
        <v>44702</v>
      </c>
      <c r="D5" t="s">
        <v>31</v>
      </c>
      <c r="E5" t="str">
        <f>IFERROR(VLOOKUP(Tabela57[[#This Row],[Produto]],Cálculos!$H$1:K23,4,0),"")</f>
        <v>Unidade</v>
      </c>
      <c r="F5">
        <v>20</v>
      </c>
      <c r="G5" s="4">
        <f>IFERROR(VLOOKUP(Tabela57[[#This Row],[Produto]],Cálculos!$H$1:K23,3,0),0)</f>
        <v>2.19</v>
      </c>
      <c r="H5" s="4">
        <f>Tabela57[[#This Row],[Quantidade]]*Tabela57[[#This Row],[Valor Unitário]]</f>
        <v>43.8</v>
      </c>
      <c r="I5" s="8">
        <v>0.01</v>
      </c>
      <c r="J5" s="4"/>
      <c r="K5" s="4">
        <f>IFERROR(VLOOKUP(Tabela57[[#This Row],[Entrega]],Cálculos!$B$1:$C$6,2,0),0)</f>
        <v>0</v>
      </c>
      <c r="L5" s="4">
        <f>Tabela57[[#This Row],[Subtotal]]*(1-Tabela57[[#This Row],[Desconto]])+Tabela57[[#This Row],[Valor Entrega]]</f>
        <v>43.361999999999995</v>
      </c>
      <c r="M5" s="22" t="str">
        <f>IF(Tabela57[[#This Row],[ID Cliente]]=B6,"",SUMIF(Tabela57[ID Cliente],Tabela57[[#This Row],[ID Cliente]],Tabela57[Total]))</f>
        <v/>
      </c>
    </row>
    <row r="6" spans="2:13" x14ac:dyDescent="0.25">
      <c r="B6">
        <v>4</v>
      </c>
      <c r="C6" s="10">
        <v>44703</v>
      </c>
      <c r="D6" t="s">
        <v>23</v>
      </c>
      <c r="E6" t="str">
        <f>IFERROR(VLOOKUP(Tabela57[[#This Row],[Produto]],Cálculos!$H$1:K24,4,0),"")</f>
        <v>Kg</v>
      </c>
      <c r="F6">
        <v>4</v>
      </c>
      <c r="G6" s="4">
        <f>IFERROR(VLOOKUP(Tabela57[[#This Row],[Produto]],Cálculos!$H$1:K24,3,0),0)</f>
        <v>6.98</v>
      </c>
      <c r="H6" s="4">
        <f>Tabela57[[#This Row],[Quantidade]]*Tabela57[[#This Row],[Valor Unitário]]</f>
        <v>27.92</v>
      </c>
      <c r="I6" s="8">
        <v>0</v>
      </c>
      <c r="J6" s="4" t="s">
        <v>135</v>
      </c>
      <c r="K6" s="4">
        <f>IFERROR(VLOOKUP(Tabela57[[#This Row],[Entrega]],Cálculos!$B$1:$C$6,2,0),0)</f>
        <v>6.5</v>
      </c>
      <c r="L6" s="4">
        <f>Tabela57[[#This Row],[Subtotal]]*(1-Tabela57[[#This Row],[Desconto]])+Tabela57[[#This Row],[Valor Entrega]]</f>
        <v>34.42</v>
      </c>
      <c r="M6" s="22">
        <f>IF(Tabela57[[#This Row],[ID Cliente]]=B7,"",SUMIF(Tabela57[ID Cliente],Tabela57[[#This Row],[ID Cliente]],Tabela57[Total]))</f>
        <v>77.781999999999996</v>
      </c>
    </row>
    <row r="7" spans="2:13" x14ac:dyDescent="0.25">
      <c r="B7">
        <v>6</v>
      </c>
      <c r="C7" s="10">
        <v>44704</v>
      </c>
      <c r="D7" t="s">
        <v>21</v>
      </c>
      <c r="E7" t="str">
        <f>IFERROR(VLOOKUP(Tabela57[[#This Row],[Produto]],Cálculos!$H$1:K25,4,0),"")</f>
        <v>Unidade</v>
      </c>
      <c r="F7">
        <v>2</v>
      </c>
      <c r="G7" s="4">
        <f>IFERROR(VLOOKUP(Tabela57[[#This Row],[Produto]],Cálculos!$H$1:K25,3,0),0)</f>
        <v>2.99</v>
      </c>
      <c r="H7" s="4">
        <f>Tabela57[[#This Row],[Quantidade]]*Tabela57[[#This Row],[Valor Unitário]]</f>
        <v>5.98</v>
      </c>
      <c r="I7" s="8">
        <v>0</v>
      </c>
      <c r="J7" s="4"/>
      <c r="K7" s="4">
        <f>IFERROR(VLOOKUP(Tabela57[[#This Row],[Entrega]],Cálculos!$B$1:$C$6,2,0),0)</f>
        <v>0</v>
      </c>
      <c r="L7" s="4">
        <f>Tabela57[[#This Row],[Subtotal]]*(1-Tabela57[[#This Row],[Desconto]])+Tabela57[[#This Row],[Valor Entrega]]</f>
        <v>5.98</v>
      </c>
      <c r="M7" s="22" t="str">
        <f>IF(Tabela57[[#This Row],[ID Cliente]]=B8,"",SUMIF(Tabela57[ID Cliente],Tabela57[[#This Row],[ID Cliente]],Tabela57[Total]))</f>
        <v/>
      </c>
    </row>
    <row r="8" spans="2:13" x14ac:dyDescent="0.25">
      <c r="B8">
        <v>6</v>
      </c>
      <c r="C8" s="10">
        <v>44704</v>
      </c>
      <c r="D8" t="s">
        <v>28</v>
      </c>
      <c r="E8" t="str">
        <f>IFERROR(VLOOKUP(Tabela57[[#This Row],[Produto]],Cálculos!$H$1:K26,4,0),"")</f>
        <v>Kg</v>
      </c>
      <c r="F8">
        <v>1</v>
      </c>
      <c r="G8" s="4">
        <f>IFERROR(VLOOKUP(Tabela57[[#This Row],[Produto]],Cálculos!$H$1:K26,3,0),0)</f>
        <v>3.99</v>
      </c>
      <c r="H8" s="4">
        <f>Tabela57[[#This Row],[Quantidade]]*Tabela57[[#This Row],[Valor Unitário]]</f>
        <v>3.99</v>
      </c>
      <c r="I8" s="8">
        <v>0.04</v>
      </c>
      <c r="J8" s="4" t="s">
        <v>132</v>
      </c>
      <c r="K8" s="4">
        <f>IFERROR(VLOOKUP(Tabela57[[#This Row],[Entrega]],Cálculos!$B$1:$C$6,2,0),0)</f>
        <v>0</v>
      </c>
      <c r="L8" s="4">
        <f>Tabela57[[#This Row],[Subtotal]]*(1-Tabela57[[#This Row],[Desconto]])+Tabela57[[#This Row],[Valor Entrega]]</f>
        <v>3.8304</v>
      </c>
      <c r="M8" s="22">
        <f>IF(Tabela57[[#This Row],[ID Cliente]]=B9,"",SUMIF(Tabela57[ID Cliente],Tabela57[[#This Row],[ID Cliente]],Tabela57[Total]))</f>
        <v>9.8104000000000013</v>
      </c>
    </row>
    <row r="9" spans="2:13" x14ac:dyDescent="0.25">
      <c r="B9">
        <v>1</v>
      </c>
      <c r="C9" s="10">
        <v>44704</v>
      </c>
      <c r="D9" t="s">
        <v>35</v>
      </c>
      <c r="E9" t="str">
        <f>IFERROR(VLOOKUP(Tabela57[[#This Row],[Produto]],Cálculos!$H$1:K27,4,0),"")</f>
        <v>Pacote</v>
      </c>
      <c r="F9">
        <v>1</v>
      </c>
      <c r="G9" s="4">
        <f>IFERROR(VLOOKUP(Tabela57[[#This Row],[Produto]],Cálculos!$H$1:K27,3,0),0)</f>
        <v>1.99</v>
      </c>
      <c r="H9" s="4">
        <f>Tabela57[[#This Row],[Quantidade]]*Tabela57[[#This Row],[Valor Unitário]]</f>
        <v>1.99</v>
      </c>
      <c r="I9" s="8">
        <v>0.02</v>
      </c>
      <c r="J9" s="4" t="s">
        <v>132</v>
      </c>
      <c r="K9" s="4">
        <f>IFERROR(VLOOKUP(Tabela57[[#This Row],[Entrega]],Cálculos!$B$1:$C$6,2,0),0)</f>
        <v>0</v>
      </c>
      <c r="L9" s="4">
        <f>Tabela57[[#This Row],[Subtotal]]*(1-Tabela57[[#This Row],[Desconto]])+Tabela57[[#This Row],[Valor Entrega]]</f>
        <v>1.9501999999999999</v>
      </c>
      <c r="M9" s="22">
        <f>IF(Tabela57[[#This Row],[ID Cliente]]=B10,"",SUMIF(Tabela57[ID Cliente],Tabela57[[#This Row],[ID Cliente]],Tabela57[Total]))</f>
        <v>1.9501999999999999</v>
      </c>
    </row>
    <row r="10" spans="2:13" x14ac:dyDescent="0.25">
      <c r="B10">
        <v>5</v>
      </c>
      <c r="C10" s="10">
        <v>44704</v>
      </c>
      <c r="D10" t="s">
        <v>38</v>
      </c>
      <c r="E10" t="str">
        <f>IFERROR(VLOOKUP(Tabela57[[#This Row],[Produto]],Cálculos!$H$1:K28,4,0),"")</f>
        <v>Unidade</v>
      </c>
      <c r="F10">
        <v>5</v>
      </c>
      <c r="G10" s="4">
        <f>IFERROR(VLOOKUP(Tabela57[[#This Row],[Produto]],Cálculos!$H$1:K28,3,0),0)</f>
        <v>1.1499999999999999</v>
      </c>
      <c r="H10" s="4">
        <f>Tabela57[[#This Row],[Quantidade]]*Tabela57[[#This Row],[Valor Unitário]]</f>
        <v>5.75</v>
      </c>
      <c r="I10" s="8">
        <v>0</v>
      </c>
      <c r="J10" s="4" t="s">
        <v>132</v>
      </c>
      <c r="K10" s="4">
        <f>IFERROR(VLOOKUP(Tabela57[[#This Row],[Entrega]],Cálculos!$B$1:$C$6,2,0),0)</f>
        <v>0</v>
      </c>
      <c r="L10" s="4">
        <f>Tabela57[[#This Row],[Subtotal]]*(1-Tabela57[[#This Row],[Desconto]])+Tabela57[[#This Row],[Valor Entrega]]</f>
        <v>5.75</v>
      </c>
      <c r="M10" s="22">
        <f>IF(Tabela57[[#This Row],[ID Cliente]]=B11,"",SUMIF(Tabela57[ID Cliente],Tabela57[[#This Row],[ID Cliente]],Tabela57[Total]))</f>
        <v>5.75</v>
      </c>
    </row>
    <row r="11" spans="2:13" x14ac:dyDescent="0.25">
      <c r="B11">
        <v>10</v>
      </c>
      <c r="C11" s="10">
        <v>44704</v>
      </c>
      <c r="D11" t="s">
        <v>25</v>
      </c>
      <c r="E11" t="str">
        <f>IFERROR(VLOOKUP(Tabela57[[#This Row],[Produto]],Cálculos!$H$1:K29,4,0),"")</f>
        <v>Kg</v>
      </c>
      <c r="F11">
        <v>0.5</v>
      </c>
      <c r="G11" s="4">
        <f>IFERROR(VLOOKUP(Tabela57[[#This Row],[Produto]],Cálculos!$H$1:K29,3,0),0)</f>
        <v>25.9</v>
      </c>
      <c r="H11" s="4">
        <f>Tabela57[[#This Row],[Quantidade]]*Tabela57[[#This Row],[Valor Unitário]]</f>
        <v>12.95</v>
      </c>
      <c r="I11" s="8">
        <v>0.05</v>
      </c>
      <c r="J11" s="4" t="s">
        <v>131</v>
      </c>
      <c r="K11" s="4">
        <f>IFERROR(VLOOKUP(Tabela57[[#This Row],[Entrega]],Cálculos!$B$1:$C$6,2,0),0)</f>
        <v>5</v>
      </c>
      <c r="L11" s="4">
        <f>Tabela57[[#This Row],[Subtotal]]*(1-Tabela57[[#This Row],[Desconto]])+Tabela57[[#This Row],[Valor Entrega]]</f>
        <v>17.302499999999998</v>
      </c>
      <c r="M11" s="22">
        <f>IF(Tabela57[[#This Row],[ID Cliente]]=B12,"",SUMIF(Tabela57[ID Cliente],Tabela57[[#This Row],[ID Cliente]],Tabela57[Total]))</f>
        <v>17.302499999999998</v>
      </c>
    </row>
    <row r="12" spans="2:13" x14ac:dyDescent="0.25">
      <c r="E12" t="str">
        <f>IFERROR(VLOOKUP(Tabela57[[#This Row],[Produto]],Cálculos!$H$1:K30,4,0),"")</f>
        <v/>
      </c>
      <c r="G12" s="4">
        <f>IFERROR(VLOOKUP(Tabela57[[#This Row],[Produto]],Cálculos!$H$1:K30,3,0),0)</f>
        <v>0</v>
      </c>
      <c r="H12" s="4">
        <f>Tabela57[[#This Row],[Quantidade]]*Tabela57[[#This Row],[Valor Unitário]]</f>
        <v>0</v>
      </c>
      <c r="I12" s="8"/>
      <c r="J12" s="4"/>
      <c r="K12" s="4">
        <f>IFERROR(VLOOKUP(Tabela57[[#This Row],[Entrega]],Cálculos!$B$1:$C$6,2,0),0)</f>
        <v>0</v>
      </c>
      <c r="L12" s="4">
        <f>Tabela57[[#This Row],[Subtotal]]*(1-Tabela57[[#This Row],[Desconto]])+Tabela57[[#This Row],[Valor Entrega]]</f>
        <v>0</v>
      </c>
      <c r="M12" s="22" t="str">
        <f>IF(Tabela57[[#This Row],[ID Cliente]]=B13,"",SUMIF(Tabela57[ID Cliente],Tabela57[[#This Row],[ID Cliente]],Tabela57[Total]))</f>
        <v/>
      </c>
    </row>
    <row r="13" spans="2:13" x14ac:dyDescent="0.25">
      <c r="E13" t="str">
        <f>IFERROR(VLOOKUP(Tabela57[[#This Row],[Produto]],Cálculos!$H$1:K31,4,0),"")</f>
        <v/>
      </c>
      <c r="G13" s="4">
        <f>IFERROR(VLOOKUP(Tabela57[[#This Row],[Produto]],Cálculos!$H$1:K31,3,0),0)</f>
        <v>0</v>
      </c>
      <c r="H13" s="4">
        <f>Tabela57[[#This Row],[Quantidade]]*Tabela57[[#This Row],[Valor Unitário]]</f>
        <v>0</v>
      </c>
      <c r="I13" s="8"/>
      <c r="J13" s="4"/>
      <c r="K13" s="4">
        <f>IFERROR(VLOOKUP(Tabela57[[#This Row],[Entrega]],Cálculos!$B$1:$C$6,2,0),0)</f>
        <v>0</v>
      </c>
      <c r="L13" s="4">
        <f>Tabela57[[#This Row],[Subtotal]]*(1-Tabela57[[#This Row],[Desconto]])+Tabela57[[#This Row],[Valor Entrega]]</f>
        <v>0</v>
      </c>
      <c r="M13" s="22" t="str">
        <f>IF(Tabela57[[#This Row],[ID Cliente]]=B14,"",SUMIF(Tabela57[ID Cliente],Tabela57[[#This Row],[ID Cliente]],Tabela57[Total]))</f>
        <v/>
      </c>
    </row>
    <row r="14" spans="2:13" x14ac:dyDescent="0.25">
      <c r="E14" t="str">
        <f>IFERROR(VLOOKUP(Tabela57[[#This Row],[Produto]],Cálculos!$H$1:K33,4,0),"")</f>
        <v/>
      </c>
      <c r="G14" s="4">
        <f>IFERROR(VLOOKUP(Tabela57[[#This Row],[Produto]],Cálculos!$H$1:K33,3,0),0)</f>
        <v>0</v>
      </c>
      <c r="H14" s="4">
        <f>Tabela57[[#This Row],[Quantidade]]*Tabela57[[#This Row],[Valor Unitário]]</f>
        <v>0</v>
      </c>
      <c r="I14" s="8"/>
      <c r="J14" s="4"/>
      <c r="K14" s="4">
        <f>IFERROR(VLOOKUP(Tabela57[[#This Row],[Entrega]],Cálculos!$B$1:$C$6,2,0),0)</f>
        <v>0</v>
      </c>
      <c r="L14" s="4">
        <f>Tabela57[[#This Row],[Subtotal]]*(1-Tabela57[[#This Row],[Desconto]])+Tabela57[[#This Row],[Valor Entrega]]</f>
        <v>0</v>
      </c>
      <c r="M14" s="22" t="str">
        <f>IF(Tabela57[[#This Row],[ID Cliente]]=B15,"",SUMIF(Tabela57[ID Cliente],Tabela57[[#This Row],[ID Cliente]],Tabela57[Total]))</f>
        <v/>
      </c>
    </row>
    <row r="15" spans="2:13" x14ac:dyDescent="0.25">
      <c r="E15" t="str">
        <f>IFERROR(VLOOKUP(Tabela57[[#This Row],[Produto]],Cálculos!$H$1:K44,4,0),"")</f>
        <v/>
      </c>
      <c r="G15" s="4">
        <f>IFERROR(VLOOKUP(Tabela57[[#This Row],[Produto]],Cálculos!$H$1:K44,3,0),0)</f>
        <v>0</v>
      </c>
      <c r="H15" s="4">
        <f>Tabela57[[#This Row],[Quantidade]]*Tabela57[[#This Row],[Valor Unitário]]</f>
        <v>0</v>
      </c>
      <c r="I15" s="8"/>
      <c r="J15" s="4"/>
      <c r="K15" s="4">
        <f>IFERROR(VLOOKUP(Tabela57[[#This Row],[Entrega]],Cálculos!$B$1:$C$6,2,0),0)</f>
        <v>0</v>
      </c>
      <c r="L15" s="4">
        <f>Tabela57[[#This Row],[Subtotal]]*(1-Tabela57[[#This Row],[Desconto]])+Tabela57[[#This Row],[Valor Entrega]]</f>
        <v>0</v>
      </c>
      <c r="M15" s="22" t="str">
        <f>IF(Tabela57[[#This Row],[ID Cliente]]=B16,"",SUMIF(Tabela57[ID Cliente],Tabela57[[#This Row],[ID Cliente]],Tabela57[Total]))</f>
        <v/>
      </c>
    </row>
    <row r="16" spans="2:13" x14ac:dyDescent="0.25">
      <c r="E16" t="str">
        <f>IFERROR(VLOOKUP(Tabela57[[#This Row],[Produto]],Cálculos!$H$1:K45,4,0),"")</f>
        <v/>
      </c>
      <c r="G16" s="4">
        <f>IFERROR(VLOOKUP(Tabela57[[#This Row],[Produto]],Cálculos!$H$1:K45,3,0),0)</f>
        <v>0</v>
      </c>
      <c r="H16" s="4">
        <f>Tabela57[[#This Row],[Quantidade]]*Tabela57[[#This Row],[Valor Unitário]]</f>
        <v>0</v>
      </c>
      <c r="I16" s="8"/>
      <c r="J16" s="4"/>
      <c r="K16" s="4">
        <f>IFERROR(VLOOKUP(Tabela57[[#This Row],[Entrega]],Cálculos!$B$1:$C$6,2,0),0)</f>
        <v>0</v>
      </c>
      <c r="L16" s="4">
        <f>Tabela57[[#This Row],[Subtotal]]*(1-Tabela57[[#This Row],[Desconto]])+Tabela57[[#This Row],[Valor Entrega]]</f>
        <v>0</v>
      </c>
      <c r="M16" s="22" t="str">
        <f>IF(Tabela57[[#This Row],[ID Cliente]]=B17,"",SUMIF(Tabela57[ID Cliente],Tabela57[[#This Row],[ID Cliente]],Tabela57[Total]))</f>
        <v/>
      </c>
    </row>
    <row r="17" spans="2:13" x14ac:dyDescent="0.25">
      <c r="E17" t="str">
        <f>IFERROR(VLOOKUP(Tabela57[[#This Row],[Produto]],Cálculos!$H$1:K46,4,0),"")</f>
        <v/>
      </c>
      <c r="G17" s="4">
        <f>IFERROR(VLOOKUP(Tabela57[[#This Row],[Produto]],Cálculos!$H$1:K46,3,0),0)</f>
        <v>0</v>
      </c>
      <c r="H17" s="4">
        <f>Tabela57[[#This Row],[Quantidade]]*Tabela57[[#This Row],[Valor Unitário]]</f>
        <v>0</v>
      </c>
      <c r="I17" s="8"/>
      <c r="J17" s="4"/>
      <c r="K17" s="4">
        <f>IFERROR(VLOOKUP(Tabela57[[#This Row],[Entrega]],Cálculos!$B$1:$C$6,2,0),0)</f>
        <v>0</v>
      </c>
      <c r="L17" s="4">
        <f>Tabela57[[#This Row],[Subtotal]]*(1-Tabela57[[#This Row],[Desconto]])+Tabela57[[#This Row],[Valor Entrega]]</f>
        <v>0</v>
      </c>
      <c r="M17" s="22" t="str">
        <f>IF(Tabela57[[#This Row],[ID Cliente]]=B18,"",SUMIF(Tabela57[ID Cliente],Tabela57[[#This Row],[ID Cliente]],Tabela57[Total]))</f>
        <v/>
      </c>
    </row>
    <row r="19" spans="2:13" ht="18.75" x14ac:dyDescent="0.3">
      <c r="B19" s="6" t="s">
        <v>141</v>
      </c>
      <c r="C19" s="6"/>
      <c r="D19" s="6"/>
      <c r="E19" s="6"/>
      <c r="M19" s="7">
        <f>SUM(Tabela57[Total])</f>
        <v>112.59509999999999</v>
      </c>
    </row>
    <row r="20" spans="2:13" ht="18.75" x14ac:dyDescent="0.3">
      <c r="B20" s="6" t="s">
        <v>138</v>
      </c>
      <c r="M20" s="7">
        <f>SUM(Tabela57[Valor Entrega])</f>
        <v>11.5</v>
      </c>
    </row>
    <row r="21" spans="2:13" ht="18.75" x14ac:dyDescent="0.3">
      <c r="B21" s="6" t="s">
        <v>150</v>
      </c>
      <c r="M21" s="53">
        <f>SUM(IF(FREQUENCY(B5:B17,B5:B17)&gt;0,1,0))</f>
        <v>5</v>
      </c>
    </row>
    <row r="23" spans="2:13" x14ac:dyDescent="0.25">
      <c r="K23" s="8">
        <f>COUNTIF(Tabela57[Valor Entrega],"&gt;0")/M21</f>
        <v>0.4</v>
      </c>
    </row>
  </sheetData>
  <mergeCells count="1">
    <mergeCell ref="B2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Cálculos!$B$2:$B$6</xm:f>
          </x14:formula1>
          <xm:sqref>J5:J17</xm:sqref>
        </x14:dataValidation>
        <x14:dataValidation type="list" allowBlank="1" showInputMessage="1" showErrorMessage="1">
          <x14:formula1>
            <xm:f>Cálculos!$H$2:$H$28</xm:f>
          </x14:formula1>
          <xm:sqref>D5:D17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F17"/>
  <sheetViews>
    <sheetView showGridLines="0" workbookViewId="0"/>
  </sheetViews>
  <sheetFormatPr defaultRowHeight="15" x14ac:dyDescent="0.25"/>
  <cols>
    <col min="3" max="3" width="13.140625" customWidth="1"/>
    <col min="4" max="4" width="15.5703125" customWidth="1"/>
    <col min="5" max="5" width="13.85546875" customWidth="1"/>
    <col min="6" max="6" width="14" bestFit="1" customWidth="1"/>
  </cols>
  <sheetData>
    <row r="5" spans="3:6" x14ac:dyDescent="0.25">
      <c r="C5" s="56" t="s">
        <v>42</v>
      </c>
      <c r="D5" s="57" t="s">
        <v>173</v>
      </c>
      <c r="E5" s="57" t="s">
        <v>172</v>
      </c>
    </row>
    <row r="6" spans="3:6" x14ac:dyDescent="0.25">
      <c r="C6" s="60">
        <v>44704</v>
      </c>
      <c r="D6" s="58">
        <v>5</v>
      </c>
      <c r="E6" s="59">
        <v>34.813100000000006</v>
      </c>
    </row>
    <row r="7" spans="3:6" x14ac:dyDescent="0.25">
      <c r="C7" s="60">
        <v>44702</v>
      </c>
      <c r="D7" s="58">
        <v>1</v>
      </c>
      <c r="E7" s="59">
        <v>43.361999999999995</v>
      </c>
    </row>
    <row r="8" spans="3:6" x14ac:dyDescent="0.25">
      <c r="C8" s="60">
        <v>44703</v>
      </c>
      <c r="D8" s="58">
        <v>1</v>
      </c>
      <c r="E8" s="59">
        <v>34.42</v>
      </c>
    </row>
    <row r="9" spans="3:6" x14ac:dyDescent="0.25">
      <c r="C9" s="57" t="s">
        <v>171</v>
      </c>
      <c r="D9" s="58">
        <v>7</v>
      </c>
      <c r="E9" s="59">
        <v>112.5951</v>
      </c>
    </row>
    <row r="13" spans="3:6" x14ac:dyDescent="0.25">
      <c r="C13" s="56" t="s">
        <v>65</v>
      </c>
      <c r="D13" s="57" t="s">
        <v>174</v>
      </c>
      <c r="E13" s="57" t="s">
        <v>175</v>
      </c>
      <c r="F13" s="57" t="s">
        <v>176</v>
      </c>
    </row>
    <row r="14" spans="3:6" x14ac:dyDescent="0.25">
      <c r="C14" s="57" t="s">
        <v>131</v>
      </c>
      <c r="D14" s="58">
        <v>1</v>
      </c>
      <c r="E14" s="59">
        <v>5</v>
      </c>
      <c r="F14" s="59">
        <v>17.302499999999998</v>
      </c>
    </row>
    <row r="15" spans="3:6" x14ac:dyDescent="0.25">
      <c r="C15" s="57" t="s">
        <v>132</v>
      </c>
      <c r="D15" s="58">
        <v>3</v>
      </c>
      <c r="E15" s="59">
        <v>0</v>
      </c>
      <c r="F15" s="59">
        <v>11.530600000000002</v>
      </c>
    </row>
    <row r="16" spans="3:6" x14ac:dyDescent="0.25">
      <c r="C16" s="57" t="s">
        <v>135</v>
      </c>
      <c r="D16" s="58">
        <v>1</v>
      </c>
      <c r="E16" s="59">
        <v>6.5</v>
      </c>
      <c r="F16" s="59">
        <v>34.42</v>
      </c>
    </row>
    <row r="17" spans="3:6" x14ac:dyDescent="0.25">
      <c r="C17" s="57" t="s">
        <v>171</v>
      </c>
      <c r="D17" s="58">
        <v>5</v>
      </c>
      <c r="E17" s="59">
        <v>11.5</v>
      </c>
      <c r="F17" s="59">
        <v>63.253100000000003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B2:M27"/>
  <sheetViews>
    <sheetView showGridLines="0" workbookViewId="0">
      <selection activeCell="A11" sqref="A11"/>
    </sheetView>
  </sheetViews>
  <sheetFormatPr defaultRowHeight="15" x14ac:dyDescent="0.25"/>
  <cols>
    <col min="1" max="1" width="26.85546875" customWidth="1"/>
    <col min="2" max="2" width="11.85546875" customWidth="1"/>
    <col min="3" max="3" width="10.7109375" bestFit="1" customWidth="1"/>
    <col min="4" max="4" width="15.7109375" bestFit="1" customWidth="1"/>
    <col min="5" max="5" width="9.85546875" customWidth="1"/>
    <col min="6" max="6" width="13.5703125" customWidth="1"/>
    <col min="7" max="7" width="15.42578125" customWidth="1"/>
    <col min="8" max="8" width="10.5703125" customWidth="1"/>
    <col min="9" max="9" width="11.42578125" customWidth="1"/>
    <col min="10" max="10" width="12.28515625" bestFit="1" customWidth="1"/>
    <col min="11" max="11" width="15" customWidth="1"/>
    <col min="12" max="12" width="14.85546875" customWidth="1"/>
    <col min="13" max="13" width="16.7109375" bestFit="1" customWidth="1"/>
  </cols>
  <sheetData>
    <row r="2" spans="2:13" s="20" customFormat="1" ht="30" customHeight="1" x14ac:dyDescent="0.25">
      <c r="B2" s="61" t="s">
        <v>140</v>
      </c>
      <c r="C2" s="61"/>
      <c r="D2" s="61"/>
      <c r="E2" s="61"/>
      <c r="F2" s="21"/>
      <c r="G2" s="21"/>
      <c r="H2" s="21"/>
      <c r="I2" s="19"/>
      <c r="J2" s="18"/>
    </row>
    <row r="4" spans="2:13" x14ac:dyDescent="0.25">
      <c r="B4" t="s">
        <v>123</v>
      </c>
      <c r="C4" t="s">
        <v>42</v>
      </c>
      <c r="D4" t="s">
        <v>115</v>
      </c>
      <c r="E4" t="s">
        <v>59</v>
      </c>
      <c r="F4" t="s">
        <v>60</v>
      </c>
      <c r="G4" t="s">
        <v>124</v>
      </c>
      <c r="H4" t="s">
        <v>125</v>
      </c>
      <c r="I4" t="s">
        <v>62</v>
      </c>
      <c r="J4" t="s">
        <v>126</v>
      </c>
      <c r="K4" t="s">
        <v>127</v>
      </c>
      <c r="L4" t="s">
        <v>128</v>
      </c>
      <c r="M4" t="s">
        <v>136</v>
      </c>
    </row>
    <row r="5" spans="2:13" x14ac:dyDescent="0.25">
      <c r="B5">
        <v>1</v>
      </c>
      <c r="C5" s="10">
        <v>44706</v>
      </c>
      <c r="D5" t="s">
        <v>33</v>
      </c>
      <c r="E5" t="str">
        <f>IFERROR(VLOOKUP(Tabela578[[#This Row],[Produto]],Cálculos!$H$1:K22,4,0),"")</f>
        <v>Unidade</v>
      </c>
      <c r="F5">
        <v>1</v>
      </c>
      <c r="G5" s="4">
        <f>IFERROR(VLOOKUP(Tabela578[[#This Row],[Produto]],Cálculos!$H$1:K22,3,0),0)</f>
        <v>2.6</v>
      </c>
      <c r="H5" s="4">
        <f>Tabela578[[#This Row],[Quantidade]]*Tabela578[[#This Row],[Valor Unitário]]</f>
        <v>2.6</v>
      </c>
      <c r="I5" s="8">
        <v>0</v>
      </c>
      <c r="J5" s="4"/>
      <c r="K5" s="4">
        <f>IFERROR(VLOOKUP(Tabela578[[#This Row],[Entrega]],Cálculos!$B$1:$C$6,2,0),0)</f>
        <v>0</v>
      </c>
      <c r="L5" s="4">
        <f>Tabela578[[#This Row],[Subtotal]]*(1-Tabela578[[#This Row],[Desconto]])+Tabela578[[#This Row],[Valor Entrega]]</f>
        <v>2.6</v>
      </c>
      <c r="M5" s="22" t="str">
        <f>IF(Tabela578[[#This Row],[ID Cliente]]=B6,"","total")</f>
        <v/>
      </c>
    </row>
    <row r="6" spans="2:13" x14ac:dyDescent="0.25">
      <c r="B6">
        <v>1</v>
      </c>
      <c r="C6" s="10">
        <v>44706</v>
      </c>
      <c r="D6" t="s">
        <v>24</v>
      </c>
      <c r="E6" t="str">
        <f>IFERROR(VLOOKUP(Tabela578[[#This Row],[Produto]],Cálculos!$H$1:K23,4,0),"")</f>
        <v>Kg</v>
      </c>
      <c r="F6">
        <v>2</v>
      </c>
      <c r="G6" s="4">
        <f>IFERROR(VLOOKUP(Tabela578[[#This Row],[Produto]],Cálculos!$H$1:K23,3,0),0)</f>
        <v>23.9</v>
      </c>
      <c r="H6" s="4">
        <f>Tabela578[[#This Row],[Quantidade]]*Tabela578[[#This Row],[Valor Unitário]]</f>
        <v>47.8</v>
      </c>
      <c r="I6" s="8">
        <v>0.05</v>
      </c>
      <c r="J6" s="4" t="s">
        <v>132</v>
      </c>
      <c r="K6" s="4">
        <f>IFERROR(VLOOKUP(Tabela578[[#This Row],[Entrega]],Cálculos!$B$1:$C$6,2,0),0)</f>
        <v>0</v>
      </c>
      <c r="L6" s="4">
        <f>Tabela578[[#This Row],[Subtotal]]*(1-Tabela578[[#This Row],[Desconto]])+Tabela578[[#This Row],[Valor Entrega]]</f>
        <v>45.41</v>
      </c>
      <c r="M6" s="22">
        <f>IF(Tabela578[[#This Row],[ID Cliente]]=B7,"",SUMIF(Tabela578[ID Cliente],Tabela578[[#This Row],[ID Cliente]],Tabela578[Total]))</f>
        <v>48.01</v>
      </c>
    </row>
    <row r="7" spans="2:13" x14ac:dyDescent="0.25">
      <c r="B7">
        <v>2</v>
      </c>
      <c r="C7" s="10">
        <v>44706</v>
      </c>
      <c r="D7" t="s">
        <v>34</v>
      </c>
      <c r="E7" t="str">
        <f>IFERROR(VLOOKUP(Tabela578[[#This Row],[Produto]],Cálculos!$H$1:K24,4,0),"")</f>
        <v>Unidade</v>
      </c>
      <c r="F7">
        <v>1</v>
      </c>
      <c r="G7" s="4">
        <f>IFERROR(VLOOKUP(Tabela578[[#This Row],[Produto]],Cálculos!$H$1:K24,3,0),0)</f>
        <v>0.79</v>
      </c>
      <c r="H7" s="4">
        <f>Tabela578[[#This Row],[Quantidade]]*Tabela578[[#This Row],[Valor Unitário]]</f>
        <v>0.79</v>
      </c>
      <c r="I7" s="8">
        <v>0</v>
      </c>
      <c r="J7" s="4"/>
      <c r="K7" s="4">
        <f>IFERROR(VLOOKUP(Tabela578[[#This Row],[Entrega]],Cálculos!$B$1:$C$6,2,0),0)</f>
        <v>0</v>
      </c>
      <c r="L7" s="4">
        <f>Tabela578[[#This Row],[Subtotal]]*(1-Tabela578[[#This Row],[Desconto]])+Tabela578[[#This Row],[Valor Entrega]]</f>
        <v>0.79</v>
      </c>
      <c r="M7" s="22" t="str">
        <f>IF(Tabela578[[#This Row],[ID Cliente]]=B8,"",SUMIF(Tabela578[ID Cliente],Tabela578[[#This Row],[ID Cliente]],Tabela578[Total]))</f>
        <v/>
      </c>
    </row>
    <row r="8" spans="2:13" x14ac:dyDescent="0.25">
      <c r="B8">
        <v>2</v>
      </c>
      <c r="C8" s="10">
        <v>44706</v>
      </c>
      <c r="D8" t="s">
        <v>66</v>
      </c>
      <c r="E8" t="str">
        <f>IFERROR(VLOOKUP(Tabela578[[#This Row],[Produto]],Cálculos!$H$1:K25,4,0),"")</f>
        <v>Unidade</v>
      </c>
      <c r="F8">
        <v>2</v>
      </c>
      <c r="G8" s="4">
        <f>IFERROR(VLOOKUP(Tabela578[[#This Row],[Produto]],Cálculos!$H$1:K25,3,0),0)</f>
        <v>3.99</v>
      </c>
      <c r="H8" s="4">
        <f>Tabela578[[#This Row],[Quantidade]]*Tabela578[[#This Row],[Valor Unitário]]</f>
        <v>7.98</v>
      </c>
      <c r="I8" s="8">
        <v>0.01</v>
      </c>
      <c r="J8" s="4"/>
      <c r="K8" s="4">
        <f>IFERROR(VLOOKUP(Tabela578[[#This Row],[Entrega]],Cálculos!$B$1:$C$6,2,0),0)</f>
        <v>0</v>
      </c>
      <c r="L8" s="4">
        <f>Tabela578[[#This Row],[Subtotal]]*(1-Tabela578[[#This Row],[Desconto]])+Tabela578[[#This Row],[Valor Entrega]]</f>
        <v>7.9002000000000008</v>
      </c>
      <c r="M8" s="22" t="str">
        <f>IF(Tabela578[[#This Row],[ID Cliente]]=B9,"",SUMIF(Tabela578[ID Cliente],Tabela578[[#This Row],[ID Cliente]],Tabela578[Total]))</f>
        <v/>
      </c>
    </row>
    <row r="9" spans="2:13" x14ac:dyDescent="0.25">
      <c r="B9">
        <v>2</v>
      </c>
      <c r="C9" s="10">
        <v>44706</v>
      </c>
      <c r="D9" t="s">
        <v>19</v>
      </c>
      <c r="E9" t="str">
        <f>IFERROR(VLOOKUP(Tabela578[[#This Row],[Produto]],Cálculos!$H$1:K26,4,0),"")</f>
        <v>Kg</v>
      </c>
      <c r="F9">
        <v>1</v>
      </c>
      <c r="G9" s="4">
        <f>IFERROR(VLOOKUP(Tabela578[[#This Row],[Produto]],Cálculos!$H$1:K26,3,0),0)</f>
        <v>4.28</v>
      </c>
      <c r="H9" s="4">
        <f>Tabela578[[#This Row],[Quantidade]]*Tabela578[[#This Row],[Valor Unitário]]</f>
        <v>4.28</v>
      </c>
      <c r="I9" s="8">
        <v>0.1</v>
      </c>
      <c r="J9" s="4"/>
      <c r="K9" s="4">
        <f>IFERROR(VLOOKUP(Tabela578[[#This Row],[Entrega]],Cálculos!$B$1:$C$6,2,0),0)</f>
        <v>0</v>
      </c>
      <c r="L9" s="4">
        <f>Tabela578[[#This Row],[Subtotal]]*(1-Tabela578[[#This Row],[Desconto]])+Tabela578[[#This Row],[Valor Entrega]]</f>
        <v>3.8520000000000003</v>
      </c>
      <c r="M9" s="22" t="str">
        <f>IF(Tabela578[[#This Row],[ID Cliente]]=B10,"",SUMIF(Tabela578[ID Cliente],Tabela578[[#This Row],[ID Cliente]],Tabela578[Total]))</f>
        <v/>
      </c>
    </row>
    <row r="10" spans="2:13" x14ac:dyDescent="0.25">
      <c r="B10">
        <v>2</v>
      </c>
      <c r="C10" s="10">
        <v>44706</v>
      </c>
      <c r="D10" t="s">
        <v>20</v>
      </c>
      <c r="E10" t="str">
        <f>IFERROR(VLOOKUP(Tabela578[[#This Row],[Produto]],Cálculos!$H$1:K27,4,0),"")</f>
        <v>Kg</v>
      </c>
      <c r="F10">
        <v>2</v>
      </c>
      <c r="G10" s="4">
        <f>IFERROR(VLOOKUP(Tabela578[[#This Row],[Produto]],Cálculos!$H$1:K27,3,0),0)</f>
        <v>5.82</v>
      </c>
      <c r="H10" s="4">
        <f>Tabela578[[#This Row],[Quantidade]]*Tabela578[[#This Row],[Valor Unitário]]</f>
        <v>11.64</v>
      </c>
      <c r="I10" s="8">
        <v>0.02</v>
      </c>
      <c r="J10" s="4"/>
      <c r="K10" s="4">
        <f>IFERROR(VLOOKUP(Tabela578[[#This Row],[Entrega]],Cálculos!$B$1:$C$6,2,0),0)</f>
        <v>0</v>
      </c>
      <c r="L10" s="4">
        <f>Tabela578[[#This Row],[Subtotal]]*(1-Tabela578[[#This Row],[Desconto]])+Tabela578[[#This Row],[Valor Entrega]]</f>
        <v>11.4072</v>
      </c>
      <c r="M10" s="22" t="str">
        <f>IF(Tabela578[[#This Row],[ID Cliente]]=B11,"",SUMIF(Tabela578[ID Cliente],Tabela578[[#This Row],[ID Cliente]],Tabela578[Total]))</f>
        <v/>
      </c>
    </row>
    <row r="11" spans="2:13" x14ac:dyDescent="0.25">
      <c r="B11">
        <v>2</v>
      </c>
      <c r="C11" s="10">
        <v>44706</v>
      </c>
      <c r="D11" t="s">
        <v>27</v>
      </c>
      <c r="E11" t="str">
        <f>IFERROR(VLOOKUP(Tabela578[[#This Row],[Produto]],Cálculos!$H$1:K28,4,0),"")</f>
        <v>Litro</v>
      </c>
      <c r="F11">
        <v>10</v>
      </c>
      <c r="G11" s="4">
        <f>IFERROR(VLOOKUP(Tabela578[[#This Row],[Produto]],Cálculos!$H$1:K28,3,0),0)</f>
        <v>3.45</v>
      </c>
      <c r="H11" s="4">
        <f>Tabela578[[#This Row],[Quantidade]]*Tabela578[[#This Row],[Valor Unitário]]</f>
        <v>34.5</v>
      </c>
      <c r="I11" s="8">
        <v>0.02</v>
      </c>
      <c r="J11" s="4" t="s">
        <v>131</v>
      </c>
      <c r="K11" s="4">
        <f>IFERROR(VLOOKUP(Tabela578[[#This Row],[Entrega]],Cálculos!$B$1:$C$6,2,0),0)</f>
        <v>5</v>
      </c>
      <c r="L11" s="4">
        <f>Tabela578[[#This Row],[Subtotal]]*(1-Tabela578[[#This Row],[Desconto]])+Tabela578[[#This Row],[Valor Entrega]]</f>
        <v>38.81</v>
      </c>
      <c r="M11" s="22">
        <f>IF(Tabela578[[#This Row],[ID Cliente]]=B12,"",SUMIF(Tabela578[ID Cliente],Tabela578[[#This Row],[ID Cliente]],Tabela578[Total]))</f>
        <v>62.759399999999999</v>
      </c>
    </row>
    <row r="12" spans="2:13" x14ac:dyDescent="0.25">
      <c r="B12">
        <v>5</v>
      </c>
      <c r="C12" s="10">
        <v>44706</v>
      </c>
      <c r="D12" t="s">
        <v>30</v>
      </c>
      <c r="E12" t="str">
        <f>IFERROR(VLOOKUP(Tabela578[[#This Row],[Produto]],Cálculos!$H$1:K29,4,0),"")</f>
        <v>Pacote</v>
      </c>
      <c r="F12">
        <v>3</v>
      </c>
      <c r="G12" s="4">
        <f>IFERROR(VLOOKUP(Tabela578[[#This Row],[Produto]],Cálculos!$H$1:K29,3,0),0)</f>
        <v>1.1499999999999999</v>
      </c>
      <c r="H12" s="4">
        <f>Tabela578[[#This Row],[Quantidade]]*Tabela578[[#This Row],[Valor Unitário]]</f>
        <v>3.4499999999999997</v>
      </c>
      <c r="I12" s="8">
        <v>0</v>
      </c>
      <c r="J12" s="4"/>
      <c r="K12" s="4">
        <f>IFERROR(VLOOKUP(Tabela578[[#This Row],[Entrega]],Cálculos!$B$1:$C$6,2,0),0)</f>
        <v>0</v>
      </c>
      <c r="L12" s="4">
        <f>Tabela578[[#This Row],[Subtotal]]*(1-Tabela578[[#This Row],[Desconto]])+Tabela578[[#This Row],[Valor Entrega]]</f>
        <v>3.4499999999999997</v>
      </c>
      <c r="M12" s="22" t="str">
        <f>IF(Tabela578[[#This Row],[ID Cliente]]=B13,"",SUMIF(Tabela578[ID Cliente],Tabela578[[#This Row],[ID Cliente]],Tabela578[Total]))</f>
        <v/>
      </c>
    </row>
    <row r="13" spans="2:13" x14ac:dyDescent="0.25">
      <c r="B13">
        <v>5</v>
      </c>
      <c r="C13" s="10">
        <v>44706</v>
      </c>
      <c r="D13" t="s">
        <v>37</v>
      </c>
      <c r="E13" t="str">
        <f>IFERROR(VLOOKUP(Tabela578[[#This Row],[Produto]],Cálculos!$H$1:K30,4,0),"")</f>
        <v>Unidade</v>
      </c>
      <c r="F13">
        <v>2</v>
      </c>
      <c r="G13" s="4">
        <f>IFERROR(VLOOKUP(Tabela578[[#This Row],[Produto]],Cálculos!$H$1:K30,3,0),0)</f>
        <v>6.75</v>
      </c>
      <c r="H13" s="4">
        <f>Tabela578[[#This Row],[Quantidade]]*Tabela578[[#This Row],[Valor Unitário]]</f>
        <v>13.5</v>
      </c>
      <c r="I13" s="8">
        <v>0</v>
      </c>
      <c r="J13" s="4" t="s">
        <v>132</v>
      </c>
      <c r="K13" s="4">
        <f>IFERROR(VLOOKUP(Tabela578[[#This Row],[Entrega]],Cálculos!$B$1:$C$6,2,0),0)</f>
        <v>0</v>
      </c>
      <c r="L13" s="4">
        <f>Tabela578[[#This Row],[Subtotal]]*(1-Tabela578[[#This Row],[Desconto]])+Tabela578[[#This Row],[Valor Entrega]]</f>
        <v>13.5</v>
      </c>
      <c r="M13" s="22">
        <f>IF(Tabela578[[#This Row],[ID Cliente]]=B14,"",SUMIF(Tabela578[ID Cliente],Tabela578[[#This Row],[ID Cliente]],Tabela578[Total]))</f>
        <v>16.95</v>
      </c>
    </row>
    <row r="14" spans="2:13" x14ac:dyDescent="0.25">
      <c r="B14">
        <v>8</v>
      </c>
      <c r="C14" s="10">
        <v>44706</v>
      </c>
      <c r="D14" t="s">
        <v>32</v>
      </c>
      <c r="E14" t="str">
        <f>IFERROR(VLOOKUP(Tabela578[[#This Row],[Produto]],Cálculos!$H$1:K31,4,0),"")</f>
        <v>Unidade</v>
      </c>
      <c r="F14">
        <v>5</v>
      </c>
      <c r="G14" s="4">
        <f>IFERROR(VLOOKUP(Tabela578[[#This Row],[Produto]],Cálculos!$H$1:K31,3,0),0)</f>
        <v>54.9</v>
      </c>
      <c r="H14" s="4">
        <f>Tabela578[[#This Row],[Quantidade]]*Tabela578[[#This Row],[Valor Unitário]]</f>
        <v>274.5</v>
      </c>
      <c r="I14" s="8">
        <v>0.04</v>
      </c>
      <c r="J14" s="4"/>
      <c r="K14" s="4">
        <f>IFERROR(VLOOKUP(Tabela578[[#This Row],[Entrega]],Cálculos!$B$1:$C$6,2,0),0)</f>
        <v>0</v>
      </c>
      <c r="L14" s="4">
        <f>Tabela578[[#This Row],[Subtotal]]*(1-Tabela578[[#This Row],[Desconto]])+Tabela578[[#This Row],[Valor Entrega]]</f>
        <v>263.52</v>
      </c>
      <c r="M14" s="22" t="str">
        <f>IF(Tabela578[[#This Row],[ID Cliente]]=B15,"",SUMIF(Tabela578[ID Cliente],Tabela578[[#This Row],[ID Cliente]],Tabela578[Total]))</f>
        <v/>
      </c>
    </row>
    <row r="15" spans="2:13" x14ac:dyDescent="0.25">
      <c r="B15">
        <v>8</v>
      </c>
      <c r="C15" s="10">
        <v>44706</v>
      </c>
      <c r="D15" t="s">
        <v>26</v>
      </c>
      <c r="E15" t="str">
        <f>IFERROR(VLOOKUP(Tabela578[[#This Row],[Produto]],Cálculos!$H$1:K32,4,0),"")</f>
        <v>Unidade</v>
      </c>
      <c r="F15">
        <v>10</v>
      </c>
      <c r="G15" s="4">
        <f>IFERROR(VLOOKUP(Tabela578[[#This Row],[Produto]],Cálculos!$H$1:K32,3,0),0)</f>
        <v>29.9</v>
      </c>
      <c r="H15" s="4">
        <f>Tabela578[[#This Row],[Quantidade]]*Tabela578[[#This Row],[Valor Unitário]]</f>
        <v>299</v>
      </c>
      <c r="I15" s="8">
        <v>0.1</v>
      </c>
      <c r="J15" s="4"/>
      <c r="K15" s="4">
        <f>IFERROR(VLOOKUP(Tabela578[[#This Row],[Entrega]],Cálculos!$B$1:$C$6,2,0),0)</f>
        <v>0</v>
      </c>
      <c r="L15" s="4">
        <f>Tabela578[[#This Row],[Subtotal]]*(1-Tabela578[[#This Row],[Desconto]])+Tabela578[[#This Row],[Valor Entrega]]</f>
        <v>269.10000000000002</v>
      </c>
      <c r="M15" s="22" t="str">
        <f>IF(Tabela578[[#This Row],[ID Cliente]]=B16,"",SUMIF(Tabela578[ID Cliente],Tabela578[[#This Row],[ID Cliente]],Tabela578[Total]))</f>
        <v/>
      </c>
    </row>
    <row r="16" spans="2:13" x14ac:dyDescent="0.25">
      <c r="B16">
        <v>8</v>
      </c>
      <c r="C16" s="10">
        <v>44706</v>
      </c>
      <c r="D16" t="s">
        <v>31</v>
      </c>
      <c r="E16" t="str">
        <f>IFERROR(VLOOKUP(Tabela578[[#This Row],[Produto]],Cálculos!$H$1:K33,4,0),"")</f>
        <v>Unidade</v>
      </c>
      <c r="F16">
        <v>70</v>
      </c>
      <c r="G16" s="4">
        <f>IFERROR(VLOOKUP(Tabela578[[#This Row],[Produto]],Cálculos!$H$1:K33,3,0),0)</f>
        <v>2.19</v>
      </c>
      <c r="H16" s="4">
        <f>Tabela578[[#This Row],[Quantidade]]*Tabela578[[#This Row],[Valor Unitário]]</f>
        <v>153.29999999999998</v>
      </c>
      <c r="I16" s="8">
        <v>0.06</v>
      </c>
      <c r="J16" s="4"/>
      <c r="K16" s="4">
        <f>IFERROR(VLOOKUP(Tabela578[[#This Row],[Entrega]],Cálculos!$B$1:$C$6,2,0),0)</f>
        <v>0</v>
      </c>
      <c r="L16" s="4">
        <f>Tabela578[[#This Row],[Subtotal]]*(1-Tabela578[[#This Row],[Desconto]])+Tabela578[[#This Row],[Valor Entrega]]</f>
        <v>144.10199999999998</v>
      </c>
      <c r="M16" s="22" t="str">
        <f>IF(Tabela578[[#This Row],[ID Cliente]]=B17,"",SUMIF(Tabela578[ID Cliente],Tabela578[[#This Row],[ID Cliente]],Tabela578[Total]))</f>
        <v/>
      </c>
    </row>
    <row r="17" spans="2:13" x14ac:dyDescent="0.25">
      <c r="B17">
        <v>8</v>
      </c>
      <c r="C17" s="10">
        <v>44706</v>
      </c>
      <c r="D17" t="s">
        <v>22</v>
      </c>
      <c r="E17" t="str">
        <f>IFERROR(VLOOKUP(Tabela578[[#This Row],[Produto]],Cálculos!$H$1:K34,4,0),"")</f>
        <v>Kg</v>
      </c>
      <c r="F17">
        <v>20</v>
      </c>
      <c r="G17" s="4">
        <f>IFERROR(VLOOKUP(Tabela578[[#This Row],[Produto]],Cálculos!$H$1:K34,3,0),0)</f>
        <v>15.9</v>
      </c>
      <c r="H17" s="4">
        <f>Tabela578[[#This Row],[Quantidade]]*Tabela578[[#This Row],[Valor Unitário]]</f>
        <v>318</v>
      </c>
      <c r="I17" s="8">
        <v>0.15</v>
      </c>
      <c r="J17" s="4"/>
      <c r="K17" s="4">
        <f>IFERROR(VLOOKUP(Tabela578[[#This Row],[Entrega]],Cálculos!$B$1:$C$6,2,0),0)</f>
        <v>0</v>
      </c>
      <c r="L17" s="4">
        <f>Tabela578[[#This Row],[Subtotal]]*(1-Tabela578[[#This Row],[Desconto]])+Tabela578[[#This Row],[Valor Entrega]]</f>
        <v>270.3</v>
      </c>
      <c r="M17" s="22" t="str">
        <f>IF(Tabela578[[#This Row],[ID Cliente]]=B18,"",SUMIF(Tabela578[ID Cliente],Tabela578[[#This Row],[ID Cliente]],Tabela578[Total]))</f>
        <v/>
      </c>
    </row>
    <row r="18" spans="2:13" x14ac:dyDescent="0.25">
      <c r="B18">
        <v>8</v>
      </c>
      <c r="C18" s="10">
        <v>44706</v>
      </c>
      <c r="D18" t="s">
        <v>25</v>
      </c>
      <c r="E18" t="str">
        <f>IFERROR(VLOOKUP(Tabela578[[#This Row],[Produto]],Cálculos!$H$1:K35,4,0),"")</f>
        <v>Kg</v>
      </c>
      <c r="F18">
        <v>1</v>
      </c>
      <c r="G18" s="4">
        <f>IFERROR(VLOOKUP(Tabela578[[#This Row],[Produto]],Cálculos!$H$1:K35,3,0),0)</f>
        <v>25.9</v>
      </c>
      <c r="H18" s="4">
        <f>Tabela578[[#This Row],[Quantidade]]*Tabela578[[#This Row],[Valor Unitário]]</f>
        <v>25.9</v>
      </c>
      <c r="I18" s="8">
        <v>0</v>
      </c>
      <c r="J18" s="4" t="s">
        <v>135</v>
      </c>
      <c r="K18" s="4">
        <f>IFERROR(VLOOKUP(Tabela578[[#This Row],[Entrega]],Cálculos!$B$1:$C$6,2,0),0)</f>
        <v>6.5</v>
      </c>
      <c r="L18" s="4">
        <f>Tabela578[[#This Row],[Subtotal]]*(1-Tabela578[[#This Row],[Desconto]])+Tabela578[[#This Row],[Valor Entrega]]</f>
        <v>32.4</v>
      </c>
      <c r="M18" s="22">
        <f>IF(Tabela578[[#This Row],[ID Cliente]]=B19,"",SUMIF(Tabela578[ID Cliente],Tabela578[[#This Row],[ID Cliente]],Tabela578[Total]))</f>
        <v>979.42199999999991</v>
      </c>
    </row>
    <row r="19" spans="2:13" x14ac:dyDescent="0.25">
      <c r="B19">
        <v>11</v>
      </c>
      <c r="C19" s="10">
        <v>44706</v>
      </c>
      <c r="D19" t="s">
        <v>36</v>
      </c>
      <c r="E19" t="str">
        <f>IFERROR(VLOOKUP(Tabela578[[#This Row],[Produto]],Cálculos!$H$1:K36,4,0),"")</f>
        <v>Unidade</v>
      </c>
      <c r="F19">
        <v>2</v>
      </c>
      <c r="G19" s="4">
        <f>IFERROR(VLOOKUP(Tabela578[[#This Row],[Produto]],Cálculos!$H$1:K36,3,0),0)</f>
        <v>4.99</v>
      </c>
      <c r="H19" s="4">
        <f>Tabela578[[#This Row],[Quantidade]]*Tabela578[[#This Row],[Valor Unitário]]</f>
        <v>9.98</v>
      </c>
      <c r="I19" s="8">
        <v>0</v>
      </c>
      <c r="J19" s="4"/>
      <c r="K19" s="4">
        <f>IFERROR(VLOOKUP(Tabela578[[#This Row],[Entrega]],Cálculos!$B$1:$C$6,2,0),0)</f>
        <v>0</v>
      </c>
      <c r="L19" s="4">
        <f>Tabela578[[#This Row],[Subtotal]]*(1-Tabela578[[#This Row],[Desconto]])+Tabela578[[#This Row],[Valor Entrega]]</f>
        <v>9.98</v>
      </c>
      <c r="M19" s="22" t="str">
        <f>IF(Tabela578[[#This Row],[ID Cliente]]=B20,"",SUMIF(Tabela578[ID Cliente],Tabela578[[#This Row],[ID Cliente]],Tabela578[Total]))</f>
        <v/>
      </c>
    </row>
    <row r="20" spans="2:13" x14ac:dyDescent="0.25">
      <c r="B20">
        <v>11</v>
      </c>
      <c r="C20" s="10">
        <v>44706</v>
      </c>
      <c r="D20" t="s">
        <v>27</v>
      </c>
      <c r="E20" t="str">
        <f>IFERROR(VLOOKUP(Tabela578[[#This Row],[Produto]],Cálculos!$H$1:K37,4,0),"")</f>
        <v>Litro</v>
      </c>
      <c r="F20">
        <v>1</v>
      </c>
      <c r="G20" s="4">
        <f>IFERROR(VLOOKUP(Tabela578[[#This Row],[Produto]],Cálculos!$H$1:K37,3,0),0)</f>
        <v>3.45</v>
      </c>
      <c r="H20" s="4">
        <f>Tabela578[[#This Row],[Quantidade]]*Tabela578[[#This Row],[Valor Unitário]]</f>
        <v>3.45</v>
      </c>
      <c r="I20" s="8">
        <v>0.05</v>
      </c>
      <c r="J20" s="4" t="s">
        <v>132</v>
      </c>
      <c r="K20" s="4">
        <f>IFERROR(VLOOKUP(Tabela578[[#This Row],[Entrega]],Cálculos!$B$1:$C$6,2,0),0)</f>
        <v>0</v>
      </c>
      <c r="L20" s="4">
        <f>Tabela578[[#This Row],[Subtotal]]*(1-Tabela578[[#This Row],[Desconto]])+Tabela578[[#This Row],[Valor Entrega]]</f>
        <v>3.2774999999999999</v>
      </c>
      <c r="M20" s="22">
        <f>IF(Tabela578[[#This Row],[ID Cliente]]=B21,"",SUMIF(Tabela578[ID Cliente],Tabela578[[#This Row],[ID Cliente]],Tabela578[Total]))</f>
        <v>13.2575</v>
      </c>
    </row>
    <row r="21" spans="2:13" x14ac:dyDescent="0.25">
      <c r="B21">
        <v>6</v>
      </c>
      <c r="C21" s="10">
        <v>44706</v>
      </c>
      <c r="D21" t="s">
        <v>66</v>
      </c>
      <c r="E21" t="str">
        <f>IFERROR(VLOOKUP(Tabela578[[#This Row],[Produto]],Cálculos!$H$1:K38,4,0),"")</f>
        <v>Unidade</v>
      </c>
      <c r="F21">
        <v>1</v>
      </c>
      <c r="G21" s="4">
        <f>IFERROR(VLOOKUP(Tabela578[[#This Row],[Produto]],Cálculos!$H$1:K38,3,0),0)</f>
        <v>3.99</v>
      </c>
      <c r="H21" s="4">
        <f>Tabela578[[#This Row],[Quantidade]]*Tabela578[[#This Row],[Valor Unitário]]</f>
        <v>3.99</v>
      </c>
      <c r="I21" s="8">
        <v>0.01</v>
      </c>
      <c r="J21" s="4" t="s">
        <v>132</v>
      </c>
      <c r="K21" s="4">
        <f>IFERROR(VLOOKUP(Tabela578[[#This Row],[Entrega]],Cálculos!$B$1:$C$6,2,0),0)</f>
        <v>0</v>
      </c>
      <c r="L21" s="4">
        <f>Tabela578[[#This Row],[Subtotal]]*(1-Tabela578[[#This Row],[Desconto]])+Tabela578[[#This Row],[Valor Entrega]]</f>
        <v>3.9501000000000004</v>
      </c>
      <c r="M21" s="22">
        <f>IF(Tabela578[[#This Row],[ID Cliente]]=B22,"",SUMIF(Tabela578[ID Cliente],Tabela578[[#This Row],[ID Cliente]],Tabela578[Total]))</f>
        <v>3.9501000000000004</v>
      </c>
    </row>
    <row r="23" spans="2:13" ht="18.75" x14ac:dyDescent="0.3">
      <c r="B23" s="6" t="s">
        <v>142</v>
      </c>
      <c r="C23" s="6"/>
      <c r="D23" s="6"/>
      <c r="E23" s="6"/>
      <c r="M23" s="7">
        <f>SUM(Tabela578[Total])</f>
        <v>1124.3490000000002</v>
      </c>
    </row>
    <row r="24" spans="2:13" ht="18.75" x14ac:dyDescent="0.3">
      <c r="B24" s="6" t="s">
        <v>138</v>
      </c>
      <c r="M24" s="7">
        <f>SUM(Tabela578[Valor Entrega])</f>
        <v>11.5</v>
      </c>
    </row>
    <row r="25" spans="2:13" ht="18.75" x14ac:dyDescent="0.3">
      <c r="B25" s="6" t="s">
        <v>150</v>
      </c>
      <c r="M25" s="38">
        <f>SUM(IF(FREQUENCY(B5:B21,B5:B21)&gt;0,1,0))</f>
        <v>6</v>
      </c>
    </row>
    <row r="27" spans="2:13" x14ac:dyDescent="0.25">
      <c r="K27" s="8">
        <f>COUNTIF(Tabela578[Valor Entrega],"&gt;0")/M25</f>
        <v>0.33333333333333331</v>
      </c>
    </row>
  </sheetData>
  <mergeCells count="1">
    <mergeCell ref="B2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Cálculos!$H$2:$H$28</xm:f>
          </x14:formula1>
          <xm:sqref>D5:D21</xm:sqref>
        </x14:dataValidation>
        <x14:dataValidation type="list" allowBlank="1" showInputMessage="1" showErrorMessage="1">
          <x14:formula1>
            <xm:f>Cálculos!$B$2:$B$6</xm:f>
          </x14:formula1>
          <xm:sqref>J5:J21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F17"/>
  <sheetViews>
    <sheetView showGridLines="0" workbookViewId="0">
      <selection activeCell="P9" sqref="P9"/>
    </sheetView>
  </sheetViews>
  <sheetFormatPr defaultRowHeight="15" x14ac:dyDescent="0.25"/>
  <cols>
    <col min="3" max="3" width="13.140625" customWidth="1"/>
    <col min="4" max="4" width="15.5703125" customWidth="1"/>
    <col min="5" max="5" width="13.85546875" customWidth="1"/>
    <col min="6" max="6" width="14" bestFit="1" customWidth="1"/>
  </cols>
  <sheetData>
    <row r="5" spans="3:6" x14ac:dyDescent="0.25">
      <c r="C5" s="56" t="s">
        <v>42</v>
      </c>
      <c r="D5" s="57" t="s">
        <v>173</v>
      </c>
      <c r="E5" s="57" t="s">
        <v>172</v>
      </c>
    </row>
    <row r="6" spans="3:6" x14ac:dyDescent="0.25">
      <c r="C6" s="60">
        <v>44706</v>
      </c>
      <c r="D6" s="58">
        <v>17</v>
      </c>
      <c r="E6" s="59">
        <v>1127.3490000000002</v>
      </c>
    </row>
    <row r="7" spans="3:6" x14ac:dyDescent="0.25">
      <c r="C7" s="57" t="s">
        <v>171</v>
      </c>
      <c r="D7" s="58">
        <v>17</v>
      </c>
      <c r="E7" s="59">
        <v>1127.3490000000002</v>
      </c>
    </row>
    <row r="13" spans="3:6" x14ac:dyDescent="0.25">
      <c r="C13" s="56" t="s">
        <v>65</v>
      </c>
      <c r="D13" s="57" t="s">
        <v>174</v>
      </c>
      <c r="E13" s="57" t="s">
        <v>175</v>
      </c>
      <c r="F13" s="57" t="s">
        <v>176</v>
      </c>
    </row>
    <row r="14" spans="3:6" x14ac:dyDescent="0.25">
      <c r="C14" s="57" t="s">
        <v>131</v>
      </c>
      <c r="D14" s="58">
        <v>1</v>
      </c>
      <c r="E14" s="59">
        <v>5</v>
      </c>
      <c r="F14" s="59">
        <v>17.302499999999998</v>
      </c>
    </row>
    <row r="15" spans="3:6" x14ac:dyDescent="0.25">
      <c r="C15" s="57" t="s">
        <v>132</v>
      </c>
      <c r="D15" s="58">
        <v>3</v>
      </c>
      <c r="E15" s="59">
        <v>0</v>
      </c>
      <c r="F15" s="59">
        <v>11.530600000000002</v>
      </c>
    </row>
    <row r="16" spans="3:6" x14ac:dyDescent="0.25">
      <c r="C16" s="57" t="s">
        <v>135</v>
      </c>
      <c r="D16" s="58">
        <v>1</v>
      </c>
      <c r="E16" s="59">
        <v>6.5</v>
      </c>
      <c r="F16" s="59">
        <v>34.42</v>
      </c>
    </row>
    <row r="17" spans="3:6" x14ac:dyDescent="0.25">
      <c r="C17" s="57" t="s">
        <v>171</v>
      </c>
      <c r="D17" s="58">
        <v>5</v>
      </c>
      <c r="E17" s="59">
        <v>11.5</v>
      </c>
      <c r="F17" s="59">
        <v>63.253100000000003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B2:M20"/>
  <sheetViews>
    <sheetView showGridLines="0" workbookViewId="0"/>
  </sheetViews>
  <sheetFormatPr defaultRowHeight="15" x14ac:dyDescent="0.25"/>
  <cols>
    <col min="1" max="1" width="26.28515625" customWidth="1"/>
    <col min="2" max="2" width="11.85546875" customWidth="1"/>
    <col min="3" max="3" width="10.7109375" bestFit="1" customWidth="1"/>
    <col min="4" max="4" width="14.5703125" bestFit="1" customWidth="1"/>
    <col min="5" max="5" width="9.85546875" customWidth="1"/>
    <col min="6" max="6" width="13.5703125" customWidth="1"/>
    <col min="7" max="7" width="15.42578125" customWidth="1"/>
    <col min="8" max="8" width="10.5703125" customWidth="1"/>
    <col min="9" max="9" width="11.42578125" customWidth="1"/>
    <col min="10" max="10" width="12.28515625" bestFit="1" customWidth="1"/>
    <col min="11" max="11" width="15" customWidth="1"/>
    <col min="12" max="12" width="14.85546875" customWidth="1"/>
    <col min="13" max="13" width="14.5703125" bestFit="1" customWidth="1"/>
    <col min="15" max="15" width="8.5703125" bestFit="1" customWidth="1"/>
  </cols>
  <sheetData>
    <row r="2" spans="2:13" s="20" customFormat="1" ht="30" customHeight="1" x14ac:dyDescent="0.25">
      <c r="B2" s="61" t="s">
        <v>148</v>
      </c>
      <c r="C2" s="61"/>
      <c r="D2" s="61"/>
      <c r="E2" s="61"/>
      <c r="F2" s="21"/>
      <c r="G2" s="21"/>
      <c r="H2" s="21"/>
      <c r="I2" s="19"/>
      <c r="J2" s="18"/>
    </row>
    <row r="4" spans="2:13" x14ac:dyDescent="0.25">
      <c r="B4" t="s">
        <v>123</v>
      </c>
      <c r="C4" t="s">
        <v>42</v>
      </c>
      <c r="D4" t="s">
        <v>115</v>
      </c>
      <c r="E4" t="s">
        <v>59</v>
      </c>
      <c r="F4" t="s">
        <v>60</v>
      </c>
      <c r="G4" t="s">
        <v>124</v>
      </c>
      <c r="H4" t="s">
        <v>125</v>
      </c>
      <c r="I4" t="s">
        <v>62</v>
      </c>
      <c r="J4" t="s">
        <v>126</v>
      </c>
      <c r="K4" t="s">
        <v>127</v>
      </c>
      <c r="L4" t="s">
        <v>128</v>
      </c>
      <c r="M4" t="s">
        <v>136</v>
      </c>
    </row>
    <row r="5" spans="2:13" x14ac:dyDescent="0.25">
      <c r="B5">
        <v>5</v>
      </c>
      <c r="C5" s="10">
        <v>44711</v>
      </c>
      <c r="D5" t="s">
        <v>32</v>
      </c>
      <c r="E5" t="str">
        <f>IFERROR(VLOOKUP(Tabela5789[[#This Row],[Produto]],Cálculos!$H$1:K22,4,0),"")</f>
        <v>Unidade</v>
      </c>
      <c r="F5">
        <v>1</v>
      </c>
      <c r="G5" s="4">
        <f>IFERROR(VLOOKUP(Tabela5789[[#This Row],[Produto]],Cálculos!$H$1:K22,3,0),0)</f>
        <v>54.9</v>
      </c>
      <c r="H5" s="4">
        <f>Tabela5789[[#This Row],[Quantidade]]*Tabela5789[[#This Row],[Valor Unitário]]</f>
        <v>54.9</v>
      </c>
      <c r="I5" s="8">
        <v>0.1</v>
      </c>
      <c r="J5" s="4" t="s">
        <v>132</v>
      </c>
      <c r="K5" s="4">
        <f>IFERROR(VLOOKUP(Tabela5789[[#This Row],[Entrega]],Cálculos!$B$1:$C$6,2,0),0)</f>
        <v>0</v>
      </c>
      <c r="L5" s="4">
        <f>Tabela5789[[#This Row],[Subtotal]]*(1-Tabela5789[[#This Row],[Desconto]])+Tabela5789[[#This Row],[Valor Entrega]]</f>
        <v>49.41</v>
      </c>
      <c r="M5" s="22">
        <f>IF(Tabela5789[[#This Row],[ID Cliente]]=B6,"",SUMIF(Tabela5789[ID Cliente],Tabela5789[[#This Row],[ID Cliente]],Tabela5789[Total]))</f>
        <v>49.41</v>
      </c>
    </row>
    <row r="6" spans="2:13" x14ac:dyDescent="0.25">
      <c r="B6">
        <v>9</v>
      </c>
      <c r="C6" s="10">
        <v>44711</v>
      </c>
      <c r="D6" t="s">
        <v>22</v>
      </c>
      <c r="E6" t="str">
        <f>IFERROR(VLOOKUP(Tabela5789[[#This Row],[Produto]],Cálculos!$H$1:K23,4,0),"")</f>
        <v>Kg</v>
      </c>
      <c r="F6">
        <v>25</v>
      </c>
      <c r="G6" s="4">
        <f>IFERROR(VLOOKUP(Tabela5789[[#This Row],[Produto]],Cálculos!$H$1:K23,3,0),0)</f>
        <v>15.9</v>
      </c>
      <c r="H6" s="4">
        <f>Tabela5789[[#This Row],[Quantidade]]*Tabela5789[[#This Row],[Valor Unitário]]</f>
        <v>397.5</v>
      </c>
      <c r="I6" s="8">
        <v>0.25</v>
      </c>
      <c r="J6" s="4" t="s">
        <v>131</v>
      </c>
      <c r="K6" s="4">
        <f>IFERROR(VLOOKUP(Tabela5789[[#This Row],[Entrega]],Cálculos!$B$1:$C$6,2,0),0)</f>
        <v>5</v>
      </c>
      <c r="L6" s="4">
        <f>Tabela5789[[#This Row],[Subtotal]]*(1-Tabela5789[[#This Row],[Desconto]])+Tabela5789[[#This Row],[Valor Entrega]]</f>
        <v>303.125</v>
      </c>
      <c r="M6" s="22">
        <f>IF(Tabela5789[[#This Row],[ID Cliente]]=B7,"",SUMIF(Tabela5789[ID Cliente],Tabela5789[[#This Row],[ID Cliente]],Tabela5789[Total]))</f>
        <v>303.125</v>
      </c>
    </row>
    <row r="7" spans="2:13" x14ac:dyDescent="0.25">
      <c r="B7">
        <v>16</v>
      </c>
      <c r="C7" s="10">
        <v>44711</v>
      </c>
      <c r="D7" t="s">
        <v>30</v>
      </c>
      <c r="E7" t="str">
        <f>IFERROR(VLOOKUP(Tabela5789[[#This Row],[Produto]],Cálculos!$H$1:K24,4,0),"")</f>
        <v>Pacote</v>
      </c>
      <c r="F7">
        <v>5</v>
      </c>
      <c r="G7" s="4">
        <f>IFERROR(VLOOKUP(Tabela5789[[#This Row],[Produto]],Cálculos!$H$1:K24,3,0),0)</f>
        <v>1.1499999999999999</v>
      </c>
      <c r="H7" s="4">
        <f>Tabela5789[[#This Row],[Quantidade]]*Tabela5789[[#This Row],[Valor Unitário]]</f>
        <v>5.75</v>
      </c>
      <c r="I7" s="8">
        <v>0</v>
      </c>
      <c r="J7" s="4" t="s">
        <v>132</v>
      </c>
      <c r="K7" s="4">
        <f>IFERROR(VLOOKUP(Tabela5789[[#This Row],[Entrega]],Cálculos!$B$1:$C$6,2,0),0)</f>
        <v>0</v>
      </c>
      <c r="L7" s="4">
        <f>Tabela5789[[#This Row],[Subtotal]]*(1-Tabela5789[[#This Row],[Desconto]])+Tabela5789[[#This Row],[Valor Entrega]]</f>
        <v>5.75</v>
      </c>
      <c r="M7" s="22">
        <f>IF(Tabela5789[[#This Row],[ID Cliente]]=B8,"",SUMIF(Tabela5789[ID Cliente],Tabela5789[[#This Row],[ID Cliente]],Tabela5789[Total]))</f>
        <v>5.75</v>
      </c>
    </row>
    <row r="8" spans="2:13" x14ac:dyDescent="0.25">
      <c r="B8">
        <v>37</v>
      </c>
      <c r="C8" s="10">
        <v>44711</v>
      </c>
      <c r="D8" t="s">
        <v>28</v>
      </c>
      <c r="E8" t="str">
        <f>IFERROR(VLOOKUP(Tabela5789[[#This Row],[Produto]],Cálculos!$H$1:K25,4,0),"")</f>
        <v>Kg</v>
      </c>
      <c r="F8">
        <v>2</v>
      </c>
      <c r="G8" s="4">
        <f>IFERROR(VLOOKUP(Tabela5789[[#This Row],[Produto]],Cálculos!$H$1:K25,3,0),0)</f>
        <v>3.99</v>
      </c>
      <c r="H8" s="4">
        <f>Tabela5789[[#This Row],[Quantidade]]*Tabela5789[[#This Row],[Valor Unitário]]</f>
        <v>7.98</v>
      </c>
      <c r="I8" s="8">
        <v>0</v>
      </c>
      <c r="J8" s="4"/>
      <c r="K8" s="4">
        <f>IFERROR(VLOOKUP(Tabela5789[[#This Row],[Entrega]],Cálculos!$B$1:$C$6,2,0),0)</f>
        <v>0</v>
      </c>
      <c r="L8" s="4">
        <f>Tabela5789[[#This Row],[Subtotal]]*(1-Tabela5789[[#This Row],[Desconto]])+Tabela5789[[#This Row],[Valor Entrega]]</f>
        <v>7.98</v>
      </c>
      <c r="M8" s="22" t="str">
        <f>IF(Tabela5789[[#This Row],[ID Cliente]]=B9,"",SUMIF(Tabela5789[ID Cliente],Tabela5789[[#This Row],[ID Cliente]],Tabela5789[Total]))</f>
        <v/>
      </c>
    </row>
    <row r="9" spans="2:13" x14ac:dyDescent="0.25">
      <c r="B9">
        <v>37</v>
      </c>
      <c r="C9" s="10">
        <v>44711</v>
      </c>
      <c r="D9" t="s">
        <v>21</v>
      </c>
      <c r="E9" t="str">
        <f>IFERROR(VLOOKUP(Tabela5789[[#This Row],[Produto]],Cálculos!$H$1:K26,4,0),"")</f>
        <v>Unidade</v>
      </c>
      <c r="F9">
        <v>5</v>
      </c>
      <c r="G9" s="4">
        <f>IFERROR(VLOOKUP(Tabela5789[[#This Row],[Produto]],Cálculos!$H$1:K26,3,0),0)</f>
        <v>2.99</v>
      </c>
      <c r="H9" s="4">
        <f>Tabela5789[[#This Row],[Quantidade]]*Tabela5789[[#This Row],[Valor Unitário]]</f>
        <v>14.950000000000001</v>
      </c>
      <c r="I9" s="8">
        <v>0</v>
      </c>
      <c r="J9" s="4"/>
      <c r="K9" s="4">
        <f>IFERROR(VLOOKUP(Tabela5789[[#This Row],[Entrega]],Cálculos!$B$1:$C$6,2,0),0)</f>
        <v>0</v>
      </c>
      <c r="L9" s="4">
        <f>Tabela5789[[#This Row],[Subtotal]]*(1-Tabela5789[[#This Row],[Desconto]])+Tabela5789[[#This Row],[Valor Entrega]]</f>
        <v>14.950000000000001</v>
      </c>
      <c r="M9" s="22" t="str">
        <f>IF(Tabela5789[[#This Row],[ID Cliente]]=B10,"",SUMIF(Tabela5789[ID Cliente],Tabela5789[[#This Row],[ID Cliente]],Tabela5789[Total]))</f>
        <v/>
      </c>
    </row>
    <row r="10" spans="2:13" x14ac:dyDescent="0.25">
      <c r="B10">
        <v>37</v>
      </c>
      <c r="C10" s="10">
        <v>44711</v>
      </c>
      <c r="D10" t="s">
        <v>24</v>
      </c>
      <c r="E10" t="str">
        <f>IFERROR(VLOOKUP(Tabela5789[[#This Row],[Produto]],Cálculos!$H$1:K27,4,0),"")</f>
        <v>Kg</v>
      </c>
      <c r="F10">
        <v>2</v>
      </c>
      <c r="G10" s="4">
        <f>IFERROR(VLOOKUP(Tabela5789[[#This Row],[Produto]],Cálculos!$H$1:K27,3,0),0)</f>
        <v>23.9</v>
      </c>
      <c r="H10" s="4">
        <f>Tabela5789[[#This Row],[Quantidade]]*Tabela5789[[#This Row],[Valor Unitário]]</f>
        <v>47.8</v>
      </c>
      <c r="I10" s="8">
        <v>0.05</v>
      </c>
      <c r="J10" s="4"/>
      <c r="K10" s="4">
        <f>IFERROR(VLOOKUP(Tabela5789[[#This Row],[Entrega]],Cálculos!$B$1:$C$6,2,0),0)</f>
        <v>0</v>
      </c>
      <c r="L10" s="4">
        <f>Tabela5789[[#This Row],[Subtotal]]*(1-Tabela5789[[#This Row],[Desconto]])+Tabela5789[[#This Row],[Valor Entrega]]</f>
        <v>45.41</v>
      </c>
      <c r="M10" s="22" t="str">
        <f>IF(Tabela5789[[#This Row],[ID Cliente]]=B11,"",SUMIF(Tabela5789[ID Cliente],Tabela5789[[#This Row],[ID Cliente]],Tabela5789[Total]))</f>
        <v/>
      </c>
    </row>
    <row r="11" spans="2:13" x14ac:dyDescent="0.25">
      <c r="B11">
        <v>37</v>
      </c>
      <c r="C11" s="10">
        <v>44711</v>
      </c>
      <c r="D11" t="s">
        <v>36</v>
      </c>
      <c r="E11" t="str">
        <f>IFERROR(VLOOKUP(Tabela5789[[#This Row],[Produto]],Cálculos!$H$1:K28,4,0),"")</f>
        <v>Unidade</v>
      </c>
      <c r="F11">
        <v>5</v>
      </c>
      <c r="G11" s="4">
        <f>IFERROR(VLOOKUP(Tabela5789[[#This Row],[Produto]],Cálculos!$H$1:K28,3,0),0)</f>
        <v>4.99</v>
      </c>
      <c r="H11" s="4">
        <f>Tabela5789[[#This Row],[Quantidade]]*Tabela5789[[#This Row],[Valor Unitário]]</f>
        <v>24.950000000000003</v>
      </c>
      <c r="I11" s="8">
        <v>0</v>
      </c>
      <c r="J11" s="4" t="s">
        <v>135</v>
      </c>
      <c r="K11" s="4">
        <f>IFERROR(VLOOKUP(Tabela5789[[#This Row],[Entrega]],Cálculos!$B$1:$C$6,2,0),0)</f>
        <v>6.5</v>
      </c>
      <c r="L11" s="4">
        <f>Tabela5789[[#This Row],[Subtotal]]*(1-Tabela5789[[#This Row],[Desconto]])+Tabela5789[[#This Row],[Valor Entrega]]</f>
        <v>31.450000000000003</v>
      </c>
      <c r="M11" s="22">
        <f>IF(Tabela5789[[#This Row],[ID Cliente]]=B12,"",SUMIF(Tabela5789[ID Cliente],Tabela5789[[#This Row],[ID Cliente]],Tabela5789[Total]))</f>
        <v>99.79</v>
      </c>
    </row>
    <row r="12" spans="2:13" x14ac:dyDescent="0.25">
      <c r="E12" t="str">
        <f>IFERROR(VLOOKUP(Tabela5789[[#This Row],[Produto]],Cálculos!$H$1:K29,4,0),"")</f>
        <v/>
      </c>
      <c r="G12" s="4">
        <f>IFERROR(VLOOKUP(Tabela5789[[#This Row],[Produto]],Cálculos!$H$1:K29,3,0),0)</f>
        <v>0</v>
      </c>
      <c r="H12" s="4">
        <f>Tabela5789[[#This Row],[Quantidade]]*Tabela5789[[#This Row],[Valor Unitário]]</f>
        <v>0</v>
      </c>
      <c r="I12" s="8"/>
      <c r="J12" s="4"/>
      <c r="K12" s="4">
        <f>IFERROR(VLOOKUP(Tabela5789[[#This Row],[Entrega]],Cálculos!$B$1:$C$6,2,0),0)</f>
        <v>0</v>
      </c>
      <c r="L12" s="4">
        <f>Tabela5789[[#This Row],[Subtotal]]*(1-Tabela5789[[#This Row],[Desconto]])+Tabela5789[[#This Row],[Valor Entrega]]</f>
        <v>0</v>
      </c>
      <c r="M12" s="22" t="str">
        <f>IF(Tabela5789[[#This Row],[ID Cliente]]=B13,"",SUMIF(Tabela5789[ID Cliente],Tabela5789[[#This Row],[ID Cliente]],Tabela5789[Total]))</f>
        <v/>
      </c>
    </row>
    <row r="13" spans="2:13" x14ac:dyDescent="0.25">
      <c r="E13" t="str">
        <f>IFERROR(VLOOKUP(Tabela5789[[#This Row],[Produto]],Cálculos!$H$1:K45,4,0),"")</f>
        <v/>
      </c>
      <c r="G13" s="4">
        <f>IFERROR(VLOOKUP(Tabela5789[[#This Row],[Produto]],Cálculos!$H$1:K45,3,0),0)</f>
        <v>0</v>
      </c>
      <c r="H13" s="4">
        <f>Tabela5789[[#This Row],[Quantidade]]*Tabela5789[[#This Row],[Valor Unitário]]</f>
        <v>0</v>
      </c>
      <c r="I13" s="8"/>
      <c r="J13" s="4"/>
      <c r="K13" s="4">
        <f>IFERROR(VLOOKUP(Tabela5789[[#This Row],[Entrega]],Cálculos!$B$1:$C$6,2,0),0)</f>
        <v>0</v>
      </c>
      <c r="L13" s="4">
        <f>Tabela5789[[#This Row],[Subtotal]]*(1-Tabela5789[[#This Row],[Desconto]])+Tabela5789[[#This Row],[Valor Entrega]]</f>
        <v>0</v>
      </c>
      <c r="M13" s="22" t="str">
        <f>IF(Tabela5789[[#This Row],[ID Cliente]]=B14,"",SUMIF(Tabela5789[ID Cliente],Tabela5789[[#This Row],[ID Cliente]],Tabela5789[Total]))</f>
        <v/>
      </c>
    </row>
    <row r="14" spans="2:13" x14ac:dyDescent="0.25">
      <c r="E14" t="str">
        <f>IFERROR(VLOOKUP(Tabela5789[[#This Row],[Produto]],Cálculos!$H$1:K46,4,0),"")</f>
        <v/>
      </c>
      <c r="G14" s="4">
        <f>IFERROR(VLOOKUP(Tabela5789[[#This Row],[Produto]],Cálculos!$H$1:K46,3,0),0)</f>
        <v>0</v>
      </c>
      <c r="H14" s="4">
        <f>Tabela5789[[#This Row],[Quantidade]]*Tabela5789[[#This Row],[Valor Unitário]]</f>
        <v>0</v>
      </c>
      <c r="I14" s="8"/>
      <c r="J14" s="4"/>
      <c r="K14" s="4">
        <f>IFERROR(VLOOKUP(Tabela5789[[#This Row],[Entrega]],Cálculos!$B$1:$C$6,2,0),0)</f>
        <v>0</v>
      </c>
      <c r="L14" s="4">
        <f>Tabela5789[[#This Row],[Subtotal]]*(1-Tabela5789[[#This Row],[Desconto]])+Tabela5789[[#This Row],[Valor Entrega]]</f>
        <v>0</v>
      </c>
      <c r="M14" s="22" t="str">
        <f>IF(Tabela5789[[#This Row],[ID Cliente]]=B15,"",SUMIF(Tabela5789[ID Cliente],Tabela5789[[#This Row],[ID Cliente]],Tabela5789[Total]))</f>
        <v/>
      </c>
    </row>
    <row r="16" spans="2:13" ht="18.75" x14ac:dyDescent="0.3">
      <c r="B16" s="6" t="s">
        <v>143</v>
      </c>
      <c r="C16" s="6"/>
      <c r="D16" s="6"/>
      <c r="E16" s="6"/>
      <c r="M16" s="7">
        <f>SUM(Tabela5789[Total])</f>
        <v>458.07499999999999</v>
      </c>
    </row>
    <row r="17" spans="2:13" ht="18.75" x14ac:dyDescent="0.3">
      <c r="B17" s="6" t="s">
        <v>138</v>
      </c>
      <c r="M17" s="7">
        <f>SUM(Tabela5789[Valor Entrega])</f>
        <v>11.5</v>
      </c>
    </row>
    <row r="18" spans="2:13" ht="18.75" x14ac:dyDescent="0.3">
      <c r="B18" s="6" t="s">
        <v>150</v>
      </c>
      <c r="M18" s="38">
        <f>SUM(IF(FREQUENCY(Tabela5789[ID Cliente],Tabela5789[ID Cliente])&gt;0,1,0))</f>
        <v>4</v>
      </c>
    </row>
    <row r="20" spans="2:13" x14ac:dyDescent="0.25">
      <c r="K20" s="8">
        <f>COUNTIF(Tabela5789[Valor Entrega],"&gt;0")/M18</f>
        <v>0.5</v>
      </c>
    </row>
  </sheetData>
  <mergeCells count="1">
    <mergeCell ref="B2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Cálculos!$B$2:$B$6</xm:f>
          </x14:formula1>
          <xm:sqref>J5:J14</xm:sqref>
        </x14:dataValidation>
        <x14:dataValidation type="list" allowBlank="1" showInputMessage="1" showErrorMessage="1">
          <x14:formula1>
            <xm:f>Cálculos!$H$2:$H$28</xm:f>
          </x14:formula1>
          <xm:sqref>D5:D14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F17"/>
  <sheetViews>
    <sheetView showGridLines="0" workbookViewId="0">
      <selection activeCell="M19" sqref="M19"/>
    </sheetView>
  </sheetViews>
  <sheetFormatPr defaultRowHeight="15" x14ac:dyDescent="0.25"/>
  <cols>
    <col min="3" max="3" width="13.140625" customWidth="1"/>
    <col min="4" max="4" width="22" bestFit="1" customWidth="1"/>
    <col min="5" max="5" width="13.85546875" customWidth="1"/>
    <col min="6" max="6" width="14" bestFit="1" customWidth="1"/>
  </cols>
  <sheetData>
    <row r="5" spans="3:6" x14ac:dyDescent="0.25">
      <c r="C5" s="56" t="s">
        <v>42</v>
      </c>
      <c r="D5" s="57" t="s">
        <v>173</v>
      </c>
      <c r="E5" s="57" t="s">
        <v>172</v>
      </c>
    </row>
    <row r="6" spans="3:6" x14ac:dyDescent="0.25">
      <c r="C6" s="60">
        <v>44711</v>
      </c>
      <c r="D6" s="58">
        <v>7</v>
      </c>
      <c r="E6" s="59">
        <v>459.57499999999999</v>
      </c>
    </row>
    <row r="7" spans="3:6" x14ac:dyDescent="0.25">
      <c r="C7" s="57" t="s">
        <v>171</v>
      </c>
      <c r="D7" s="58">
        <v>7</v>
      </c>
      <c r="E7" s="59">
        <v>459.57499999999999</v>
      </c>
    </row>
    <row r="13" spans="3:6" x14ac:dyDescent="0.25">
      <c r="C13" s="56" t="s">
        <v>65</v>
      </c>
      <c r="D13" s="57" t="s">
        <v>174</v>
      </c>
      <c r="E13" s="57" t="s">
        <v>175</v>
      </c>
      <c r="F13" s="57" t="s">
        <v>176</v>
      </c>
    </row>
    <row r="14" spans="3:6" x14ac:dyDescent="0.25">
      <c r="C14" s="57" t="s">
        <v>131</v>
      </c>
      <c r="D14" s="58">
        <v>1</v>
      </c>
      <c r="E14" s="59">
        <v>5</v>
      </c>
      <c r="F14" s="59">
        <v>17.302499999999998</v>
      </c>
    </row>
    <row r="15" spans="3:6" x14ac:dyDescent="0.25">
      <c r="C15" s="57" t="s">
        <v>132</v>
      </c>
      <c r="D15" s="58">
        <v>3</v>
      </c>
      <c r="E15" s="59">
        <v>0</v>
      </c>
      <c r="F15" s="59">
        <v>11.530600000000002</v>
      </c>
    </row>
    <row r="16" spans="3:6" x14ac:dyDescent="0.25">
      <c r="C16" s="57" t="s">
        <v>135</v>
      </c>
      <c r="D16" s="58">
        <v>1</v>
      </c>
      <c r="E16" s="59">
        <v>6.5</v>
      </c>
      <c r="F16" s="59">
        <v>34.42</v>
      </c>
    </row>
    <row r="17" spans="3:6" x14ac:dyDescent="0.25">
      <c r="C17" s="57" t="s">
        <v>171</v>
      </c>
      <c r="D17" s="58">
        <v>5</v>
      </c>
      <c r="E17" s="59">
        <v>11.5</v>
      </c>
      <c r="F17" s="59">
        <v>63.253100000000003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B1:K22"/>
  <sheetViews>
    <sheetView showGridLines="0" workbookViewId="0">
      <selection activeCell="E1" sqref="E1:H1048576"/>
    </sheetView>
  </sheetViews>
  <sheetFormatPr defaultRowHeight="15" x14ac:dyDescent="0.25"/>
  <cols>
    <col min="2" max="2" width="18.140625" bestFit="1" customWidth="1"/>
    <col min="8" max="8" width="15.7109375" bestFit="1" customWidth="1"/>
    <col min="9" max="9" width="15" bestFit="1" customWidth="1"/>
    <col min="10" max="10" width="18.140625" bestFit="1" customWidth="1"/>
    <col min="11" max="11" width="13" bestFit="1" customWidth="1"/>
  </cols>
  <sheetData>
    <row r="1" spans="2:11" x14ac:dyDescent="0.25">
      <c r="B1" s="64" t="s">
        <v>129</v>
      </c>
      <c r="C1" s="64" t="s">
        <v>130</v>
      </c>
      <c r="H1" s="57" t="s">
        <v>58</v>
      </c>
      <c r="I1" s="57" t="s">
        <v>63</v>
      </c>
      <c r="J1" s="57" t="s">
        <v>68</v>
      </c>
      <c r="K1" s="57" t="s">
        <v>65</v>
      </c>
    </row>
    <row r="2" spans="2:11" x14ac:dyDescent="0.25">
      <c r="B2" s="55" t="s">
        <v>131</v>
      </c>
      <c r="C2" s="65">
        <v>5</v>
      </c>
      <c r="H2" s="62" t="s">
        <v>21</v>
      </c>
      <c r="I2" s="63">
        <v>2.84</v>
      </c>
      <c r="J2" s="63">
        <v>2.99</v>
      </c>
      <c r="K2" s="62" t="s">
        <v>65</v>
      </c>
    </row>
    <row r="3" spans="2:11" x14ac:dyDescent="0.25">
      <c r="B3" s="55" t="s">
        <v>132</v>
      </c>
      <c r="C3" s="65">
        <v>0</v>
      </c>
      <c r="H3" s="62" t="s">
        <v>30</v>
      </c>
      <c r="I3" s="63">
        <v>1.06</v>
      </c>
      <c r="J3" s="63">
        <v>1.1499999999999999</v>
      </c>
      <c r="K3" s="62" t="s">
        <v>67</v>
      </c>
    </row>
    <row r="4" spans="2:11" x14ac:dyDescent="0.25">
      <c r="B4" s="55" t="s">
        <v>133</v>
      </c>
      <c r="C4" s="65">
        <v>6.5</v>
      </c>
      <c r="H4" s="62" t="s">
        <v>35</v>
      </c>
      <c r="I4" s="63">
        <v>1.85</v>
      </c>
      <c r="J4" s="63">
        <v>1.99</v>
      </c>
      <c r="K4" s="62" t="s">
        <v>67</v>
      </c>
    </row>
    <row r="5" spans="2:11" x14ac:dyDescent="0.25">
      <c r="B5" s="55" t="s">
        <v>134</v>
      </c>
      <c r="C5" s="65">
        <v>8</v>
      </c>
      <c r="H5" s="62" t="s">
        <v>38</v>
      </c>
      <c r="I5" s="63">
        <v>1.0900000000000001</v>
      </c>
      <c r="J5" s="63">
        <v>1.1499999999999999</v>
      </c>
      <c r="K5" s="62" t="s">
        <v>65</v>
      </c>
    </row>
    <row r="6" spans="2:11" x14ac:dyDescent="0.25">
      <c r="B6" s="55" t="s">
        <v>135</v>
      </c>
      <c r="C6" s="65">
        <v>6.5</v>
      </c>
      <c r="H6" s="62" t="s">
        <v>34</v>
      </c>
      <c r="I6" s="63">
        <v>0.74</v>
      </c>
      <c r="J6" s="63">
        <v>0.79</v>
      </c>
      <c r="K6" s="62" t="s">
        <v>65</v>
      </c>
    </row>
    <row r="7" spans="2:11" x14ac:dyDescent="0.25">
      <c r="H7" s="62" t="s">
        <v>22</v>
      </c>
      <c r="I7" s="63">
        <v>14.47</v>
      </c>
      <c r="J7" s="63">
        <v>15.9</v>
      </c>
      <c r="K7" s="62" t="s">
        <v>64</v>
      </c>
    </row>
    <row r="8" spans="2:11" x14ac:dyDescent="0.25">
      <c r="H8" s="62" t="s">
        <v>28</v>
      </c>
      <c r="I8" s="63">
        <v>3.63</v>
      </c>
      <c r="J8" s="63">
        <v>3.99</v>
      </c>
      <c r="K8" s="62" t="s">
        <v>64</v>
      </c>
    </row>
    <row r="9" spans="2:11" x14ac:dyDescent="0.25">
      <c r="H9" s="62" t="s">
        <v>31</v>
      </c>
      <c r="I9" s="63">
        <v>2.1</v>
      </c>
      <c r="J9" s="63">
        <v>2.19</v>
      </c>
      <c r="K9" s="62" t="s">
        <v>65</v>
      </c>
    </row>
    <row r="10" spans="2:11" x14ac:dyDescent="0.25">
      <c r="H10" s="62" t="s">
        <v>36</v>
      </c>
      <c r="I10" s="63">
        <v>4.54</v>
      </c>
      <c r="J10" s="63">
        <v>4.99</v>
      </c>
      <c r="K10" s="62" t="s">
        <v>65</v>
      </c>
    </row>
    <row r="11" spans="2:11" x14ac:dyDescent="0.25">
      <c r="H11" s="62" t="s">
        <v>37</v>
      </c>
      <c r="I11" s="63">
        <v>6.35</v>
      </c>
      <c r="J11" s="63">
        <v>6.75</v>
      </c>
      <c r="K11" s="62" t="s">
        <v>65</v>
      </c>
    </row>
    <row r="12" spans="2:11" x14ac:dyDescent="0.25">
      <c r="H12" s="62" t="s">
        <v>33</v>
      </c>
      <c r="I12" s="63">
        <v>2.37</v>
      </c>
      <c r="J12" s="63">
        <v>2.6</v>
      </c>
      <c r="K12" s="62" t="s">
        <v>65</v>
      </c>
    </row>
    <row r="13" spans="2:11" x14ac:dyDescent="0.25">
      <c r="H13" s="62" t="s">
        <v>19</v>
      </c>
      <c r="I13" s="63">
        <v>4.07</v>
      </c>
      <c r="J13" s="63">
        <v>4.28</v>
      </c>
      <c r="K13" s="62" t="s">
        <v>64</v>
      </c>
    </row>
    <row r="14" spans="2:11" x14ac:dyDescent="0.25">
      <c r="H14" s="62" t="s">
        <v>23</v>
      </c>
      <c r="I14" s="63">
        <v>6.42</v>
      </c>
      <c r="J14" s="63">
        <v>6.98</v>
      </c>
      <c r="K14" s="62" t="s">
        <v>64</v>
      </c>
    </row>
    <row r="15" spans="2:11" x14ac:dyDescent="0.25">
      <c r="H15" s="62" t="s">
        <v>66</v>
      </c>
      <c r="I15" s="63">
        <v>2.63</v>
      </c>
      <c r="J15" s="63">
        <v>3.99</v>
      </c>
      <c r="K15" s="62" t="s">
        <v>65</v>
      </c>
    </row>
    <row r="16" spans="2:11" x14ac:dyDescent="0.25">
      <c r="H16" s="62" t="s">
        <v>24</v>
      </c>
      <c r="I16" s="63">
        <v>22.23</v>
      </c>
      <c r="J16" s="63">
        <v>23.9</v>
      </c>
      <c r="K16" s="62" t="s">
        <v>64</v>
      </c>
    </row>
    <row r="17" spans="8:11" x14ac:dyDescent="0.25">
      <c r="H17" s="62" t="s">
        <v>25</v>
      </c>
      <c r="I17" s="63">
        <v>23.83</v>
      </c>
      <c r="J17" s="63">
        <v>25.9</v>
      </c>
      <c r="K17" s="62" t="s">
        <v>64</v>
      </c>
    </row>
    <row r="18" spans="8:11" x14ac:dyDescent="0.25">
      <c r="H18" s="62" t="s">
        <v>27</v>
      </c>
      <c r="I18" s="63">
        <v>3.21</v>
      </c>
      <c r="J18" s="63">
        <v>3.45</v>
      </c>
      <c r="K18" s="62" t="s">
        <v>69</v>
      </c>
    </row>
    <row r="19" spans="8:11" x14ac:dyDescent="0.25">
      <c r="H19" s="62" t="s">
        <v>20</v>
      </c>
      <c r="I19" s="63">
        <v>5.35</v>
      </c>
      <c r="J19" s="63">
        <v>5.82</v>
      </c>
      <c r="K19" s="62" t="s">
        <v>64</v>
      </c>
    </row>
    <row r="20" spans="8:11" x14ac:dyDescent="0.25">
      <c r="H20" s="62" t="s">
        <v>29</v>
      </c>
      <c r="I20" s="63">
        <v>9.1</v>
      </c>
      <c r="J20" s="63">
        <v>9.58</v>
      </c>
      <c r="K20" s="62" t="s">
        <v>64</v>
      </c>
    </row>
    <row r="21" spans="8:11" x14ac:dyDescent="0.25">
      <c r="H21" s="62" t="s">
        <v>26</v>
      </c>
      <c r="I21" s="63">
        <v>26.01</v>
      </c>
      <c r="J21" s="63">
        <v>29.9</v>
      </c>
      <c r="K21" s="62" t="s">
        <v>65</v>
      </c>
    </row>
    <row r="22" spans="8:11" x14ac:dyDescent="0.25">
      <c r="H22" s="62" t="s">
        <v>32</v>
      </c>
      <c r="I22" s="63">
        <v>46.67</v>
      </c>
      <c r="J22" s="63">
        <v>54.9</v>
      </c>
      <c r="K22" s="62" t="s">
        <v>65</v>
      </c>
    </row>
  </sheetData>
  <autoFilter ref="H1:K1">
    <sortState ref="H2:K22">
      <sortCondition ref="H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10</vt:i4>
      </vt:variant>
    </vt:vector>
  </HeadingPairs>
  <TitlesOfParts>
    <vt:vector size="26" baseType="lpstr">
      <vt:lpstr>Menu</vt:lpstr>
      <vt:lpstr>Despesas Fixas</vt:lpstr>
      <vt:lpstr>Compra Mercadorias</vt:lpstr>
      <vt:lpstr>Investimentos</vt:lpstr>
      <vt:lpstr>Controle de Estoque</vt:lpstr>
      <vt:lpstr>Resultados</vt:lpstr>
      <vt:lpstr>Vendas</vt:lpstr>
      <vt:lpstr>Semana 1</vt:lpstr>
      <vt:lpstr>Análise Sem 1</vt:lpstr>
      <vt:lpstr>Semana 2</vt:lpstr>
      <vt:lpstr>Análise Sem 2</vt:lpstr>
      <vt:lpstr>Semana 3</vt:lpstr>
      <vt:lpstr>Análise Sem 3</vt:lpstr>
      <vt:lpstr>Semana 4</vt:lpstr>
      <vt:lpstr>Análise Sem 4</vt:lpstr>
      <vt:lpstr>Cálculos</vt:lpstr>
      <vt:lpstr>TabelaCM</vt:lpstr>
      <vt:lpstr>TabelaD</vt:lpstr>
      <vt:lpstr>TabelaDF</vt:lpstr>
      <vt:lpstr>TabelaEstq</vt:lpstr>
      <vt:lpstr>TabelaInvst</vt:lpstr>
      <vt:lpstr>TabelaS1</vt:lpstr>
      <vt:lpstr>TabelaS2</vt:lpstr>
      <vt:lpstr>TabelaS3</vt:lpstr>
      <vt:lpstr>TabelaS4</vt:lpstr>
      <vt:lpstr>TabelaVS2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Carla Marcondes</cp:lastModifiedBy>
  <dcterms:created xsi:type="dcterms:W3CDTF">2015-06-24T19:21:22Z</dcterms:created>
  <dcterms:modified xsi:type="dcterms:W3CDTF">2022-05-23T18:18:57Z</dcterms:modified>
</cp:coreProperties>
</file>